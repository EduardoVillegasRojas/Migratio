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0" sheetId="1" r:id="rId4"/>
    <sheet state="visible" name="Sprint Backlog" sheetId="2" r:id="rId5"/>
    <sheet state="visible" name="Sprint 2 Backlog" sheetId="3" r:id="rId6"/>
    <sheet state="visible" name="Sprint 3 Backlog" sheetId="4" r:id="rId7"/>
    <sheet state="visible" name="Sprint 4 Backlog" sheetId="5" r:id="rId8"/>
    <sheet state="visible" name="Instructivo" sheetId="6" r:id="rId9"/>
  </sheets>
  <definedNames/>
  <calcPr/>
  <extLst>
    <ext uri="GoogleSheetsCustomDataVersion2">
      <go:sheetsCustomData xmlns:go="http://customooxmlschemas.google.com/" r:id="rId10" roundtripDataChecksum="t2DWoKE+lZiF296/t82dnwO1qIl0GXJEjSVFRZZv4H0="/>
    </ext>
  </extLst>
</workbook>
</file>

<file path=xl/sharedStrings.xml><?xml version="1.0" encoding="utf-8"?>
<sst xmlns="http://schemas.openxmlformats.org/spreadsheetml/2006/main" count="466" uniqueCount="85">
  <si>
    <t>Metodologías ágiles: Lista de tareas de la iteración</t>
  </si>
  <si>
    <t>(Sprint Backlog)</t>
  </si>
  <si>
    <t>Elaborado por: Migratio</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</si>
  <si>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</si>
  <si>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</si>
  <si>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</si>
  <si>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</si>
  <si>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</si>
  <si>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</si>
  <si>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</si>
  <si>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</si>
  <si>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</si>
  <si>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</si>
  <si>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</si>
  <si>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</si>
  <si>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</si>
  <si>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</si>
  <si>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</si>
  <si>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</si>
  <si>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</si>
  <si>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</si>
  <si>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</si>
  <si>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</si>
  <si>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</si>
  <si>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</si>
  <si>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</si>
  <si>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</si>
  <si>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</si>
  <si>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</si>
  <si>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</si>
  <si>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</si>
  <si>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</si>
  <si>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 xml:space="preserve">Contexto migratio </t>
  </si>
  <si>
    <t xml:space="preserve">Percy/Eduardo </t>
  </si>
  <si>
    <t>Finalizado</t>
  </si>
  <si>
    <t>Reunion con interesados</t>
  </si>
  <si>
    <t>Creación de entorno de trabajo</t>
  </si>
  <si>
    <t>Completar Sprint
Backlog</t>
  </si>
  <si>
    <t>Seleccion y definicion de plantillas</t>
  </si>
  <si>
    <t>Completar Impediment
Log</t>
  </si>
  <si>
    <t>Completar Sprint
Review</t>
  </si>
  <si>
    <t>Completar Acta de Sprint Retrospective</t>
  </si>
  <si>
    <t>Generación de Trello</t>
  </si>
  <si>
    <t>HU-03</t>
  </si>
  <si>
    <t>Como sistema, necesito capturar imágenes desde la cámara, con la finalidad de detectar personas y medir la densidad del lugar.</t>
  </si>
  <si>
    <t>Investigar cámara</t>
  </si>
  <si>
    <t>Configurar transmisión en tiempo real</t>
  </si>
  <si>
    <t>HU-04</t>
  </si>
  <si>
    <t>Como sistema, necesito procesar las imágenes capturadas por la cámara con el modelo YOLO, con la finalidad de detectar y contar personas para generar métricas turísticas.</t>
  </si>
  <si>
    <t>Desarrollar script de captura</t>
  </si>
  <si>
    <t>Validar pruebas piloto</t>
  </si>
  <si>
    <t>HU-05</t>
  </si>
  <si>
    <t xml:space="preserve">Como administrador, necesito guardar en la base de datos los registros de densidad de personas obtenidos, con la finalidad de disponer de información histórica y confiable para reportes y visualización en la app.
</t>
  </si>
  <si>
    <t>Definir endpoints + API  RESTFULL</t>
  </si>
  <si>
    <t>HU-06</t>
  </si>
  <si>
    <t>Como administrador, necesito visualizar reportes de densidad de visitantes por lugar y fecha, con la finalidad de planificar medidas de control y gestión turística.</t>
  </si>
  <si>
    <t>Crear proyecto base en Node.js + Express</t>
  </si>
  <si>
    <t>Configurar BD PostgreSQL</t>
  </si>
  <si>
    <t>Validar funcionamiento desde interfaz</t>
  </si>
  <si>
    <t>HU-01</t>
  </si>
  <si>
    <t>Como un turista, necesito visualizar en la aplicación móvil el nivel de saturación de los puntos turísticos en un mapa, con la finalidad de planificar mis visitas evitando lugares sobrecargados y optimizar mi experiencia.</t>
  </si>
  <si>
    <t>Configurar proyecto en Flutter</t>
  </si>
  <si>
    <t>Integrar API backend, Implementar mapa de saturación</t>
  </si>
  <si>
    <t>HU-02</t>
  </si>
  <si>
    <t>Como turista, necesito crear itinerarios según mis preferencias, con la finalidad de optimizar el tiempo y visitar más lugares sin congestión.</t>
  </si>
  <si>
    <t>Crear ruta para visitar</t>
  </si>
  <si>
    <t>Crear tour de visitas, tiempo recorrido</t>
  </si>
  <si>
    <t>Final sprint</t>
  </si>
  <si>
    <t>Acta de aprobación</t>
  </si>
  <si>
    <t xml:space="preserve">Cierre proyecto </t>
  </si>
  <si>
    <t>Lista de tareas de la iteración (Sprint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</si>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</sst>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b/>
      <sz val="22.0"/>
      <color theme="1"/>
      <name val="Calibri"/>
    </font>
    <font>
      <b/>
      <sz val="16.0"/>
      <color rgb="FF1F497D"/>
      <name val="Calibri"/>
    </font>
    <font>
      <b/>
      <sz val="14.0"/>
      <color theme="1"/>
      <name val="Calibri"/>
    </font>
    <font>
      <b/>
      <sz val="14.0"/>
      <color theme="0"/>
      <name val="Calibri"/>
    </font>
    <font/>
    <font>
      <color theme="1"/>
      <name val="Calibri"/>
    </font>
    <font>
      <b/>
      <sz val="11.0"/>
      <color theme="1"/>
      <name val="Calibri"/>
    </font>
    <font>
      <b/>
      <sz val="12.0"/>
      <color theme="1"/>
      <name val="Calibri"/>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C9DAF8"/>
        <bgColor rgb="FFC9DAF8"/>
      </patternFill>
    </fill>
    <fill>
      <patternFill patternType="solid">
        <fgColor rgb="FFD6E3BC"/>
        <bgColor rgb="FFD6E3BC"/>
      </patternFill>
    </fill>
    <fill>
      <patternFill patternType="solid">
        <fgColor rgb="FFB8CCE4"/>
        <bgColor rgb="FFB8CCE4"/>
      </patternFill>
    </fill>
  </fills>
  <borders count="1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top/>
      <bottom/>
    </border>
    <border>
      <left/>
      <right/>
      <bottom/>
    </border>
    <border>
      <top style="thin">
        <color rgb="FF000000"/>
      </top>
      <bottom style="thin">
        <color rgb="FF000000"/>
      </bottom>
    </border>
    <border>
      <left/>
      <bottom/>
    </border>
    <border>
      <left style="thin">
        <color rgb="FF000000"/>
      </left>
      <right style="thin">
        <color rgb="FF000000"/>
      </right>
    </border>
    <border>
      <left/>
      <right/>
      <top/>
    </border>
    <border>
      <right/>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2" fontId="4" numFmtId="0" xfId="0" applyBorder="1" applyFont="1"/>
    <xf borderId="2" fillId="3" fontId="5" numFmtId="0" xfId="0" applyAlignment="1" applyBorder="1" applyFill="1" applyFont="1">
      <alignment horizontal="center" shrinkToFit="0" vertical="center" wrapText="1"/>
    </xf>
    <xf borderId="3" fillId="0" fontId="6" numFmtId="0" xfId="0" applyBorder="1" applyFont="1"/>
    <xf borderId="4" fillId="3" fontId="5" numFmtId="0" xfId="0" applyAlignment="1" applyBorder="1" applyFont="1">
      <alignment horizontal="center" shrinkToFit="0" vertical="center" wrapText="1"/>
    </xf>
    <xf borderId="5" fillId="3" fontId="5" numFmtId="0" xfId="0" applyAlignment="1" applyBorder="1" applyFont="1">
      <alignment horizontal="center" shrinkToFit="0" vertical="center" wrapText="1"/>
    </xf>
    <xf borderId="6" fillId="3" fontId="5" numFmtId="0" xfId="0" applyAlignment="1" applyBorder="1" applyFont="1">
      <alignment horizontal="center" shrinkToFit="0" vertical="center" wrapText="1"/>
    </xf>
    <xf borderId="7" fillId="2" fontId="1" numFmtId="0" xfId="0" applyBorder="1" applyFont="1"/>
    <xf borderId="8" fillId="4" fontId="4" numFmtId="0" xfId="0" applyAlignment="1" applyBorder="1" applyFill="1" applyFont="1">
      <alignment horizontal="center" shrinkToFit="0" vertical="top" wrapText="1"/>
    </xf>
    <xf borderId="8" fillId="2" fontId="1" numFmtId="0" xfId="0" applyAlignment="1" applyBorder="1" applyFont="1">
      <alignment horizontal="left" shrinkToFit="0" vertical="top" wrapText="1"/>
    </xf>
    <xf borderId="5" fillId="2" fontId="1" numFmtId="0" xfId="0" applyAlignment="1" applyBorder="1" applyFont="1">
      <alignment horizontal="left" shrinkToFit="0" vertical="top" wrapText="1"/>
    </xf>
    <xf borderId="5" fillId="2" fontId="1" numFmtId="0" xfId="0" applyAlignment="1" applyBorder="1" applyFont="1">
      <alignment horizontal="right" shrinkToFit="0" vertical="top" wrapText="1"/>
    </xf>
    <xf borderId="5" fillId="5" fontId="1" numFmtId="0" xfId="0" applyAlignment="1" applyBorder="1" applyFill="1" applyFont="1">
      <alignment horizontal="right" shrinkToFit="0" vertical="top" wrapText="1"/>
    </xf>
    <xf borderId="5" fillId="6" fontId="1" numFmtId="0" xfId="0" applyAlignment="1" applyBorder="1" applyFill="1" applyFont="1">
      <alignment horizontal="right" shrinkToFit="0" vertical="top" wrapText="1"/>
    </xf>
    <xf borderId="2" fillId="2" fontId="1" numFmtId="0" xfId="0" applyBorder="1" applyFont="1"/>
    <xf borderId="9" fillId="0" fontId="6" numFmtId="0" xfId="0" applyBorder="1" applyFont="1"/>
    <xf borderId="10" fillId="2" fontId="1" numFmtId="0" xfId="0" applyBorder="1" applyFont="1"/>
    <xf borderId="11" fillId="2" fontId="1" numFmtId="0" xfId="0" applyBorder="1" applyFont="1"/>
    <xf borderId="5" fillId="4" fontId="4" numFmtId="0" xfId="0" applyAlignment="1" applyBorder="1" applyFont="1">
      <alignment horizontal="center" shrinkToFit="0" vertical="top" wrapText="1"/>
    </xf>
    <xf borderId="12" fillId="2" fontId="1" numFmtId="0" xfId="0" applyAlignment="1" applyBorder="1" applyFont="1">
      <alignment horizontal="left" shrinkToFit="0" vertical="top" wrapText="1"/>
    </xf>
    <xf borderId="8" fillId="2" fontId="1" numFmtId="0" xfId="0" applyAlignment="1" applyBorder="1" applyFont="1">
      <alignment horizontal="right" shrinkToFit="0" vertical="top" wrapText="1"/>
    </xf>
    <xf borderId="8" fillId="5" fontId="1" numFmtId="0" xfId="0" applyAlignment="1" applyBorder="1" applyFont="1">
      <alignment horizontal="right" shrinkToFit="0" vertical="top" wrapText="1"/>
    </xf>
    <xf borderId="8" fillId="6" fontId="1" numFmtId="0" xfId="0" applyAlignment="1" applyBorder="1" applyFont="1">
      <alignment horizontal="right" shrinkToFit="0" vertical="top" wrapText="1"/>
    </xf>
    <xf borderId="5" fillId="2" fontId="1" numFmtId="0" xfId="0" applyBorder="1" applyFont="1"/>
    <xf borderId="13" fillId="2" fontId="1" numFmtId="0" xfId="0" applyBorder="1" applyFont="1"/>
    <xf borderId="14" fillId="0" fontId="6" numFmtId="0" xfId="0" applyBorder="1" applyFont="1"/>
    <xf borderId="9" fillId="2" fontId="1" numFmtId="0" xfId="0" applyAlignment="1" applyBorder="1" applyFont="1">
      <alignment horizontal="left" shrinkToFit="0" vertical="top" wrapText="1"/>
    </xf>
    <xf borderId="9" fillId="2" fontId="1" numFmtId="0" xfId="0" applyAlignment="1" applyBorder="1" applyFont="1">
      <alignment horizontal="right" shrinkToFit="0" vertical="top" wrapText="1"/>
    </xf>
    <xf borderId="9" fillId="5" fontId="1" numFmtId="0" xfId="0" applyAlignment="1" applyBorder="1" applyFont="1">
      <alignment horizontal="right" shrinkToFit="0" vertical="top" wrapText="1"/>
    </xf>
    <xf borderId="9" fillId="6" fontId="1" numFmtId="0" xfId="0" applyAlignment="1" applyBorder="1" applyFont="1">
      <alignment horizontal="right" shrinkToFit="0" vertical="top" wrapText="1"/>
    </xf>
    <xf borderId="5" fillId="0" fontId="7" numFmtId="0" xfId="0" applyBorder="1" applyFont="1"/>
    <xf borderId="15" fillId="2" fontId="4" numFmtId="0" xfId="0" applyBorder="1" applyFont="1"/>
    <xf borderId="5" fillId="2" fontId="4" numFmtId="0" xfId="0" applyBorder="1" applyFont="1"/>
    <xf borderId="5" fillId="2" fontId="1" numFmtId="0" xfId="0" applyAlignment="1" applyBorder="1" applyFont="1">
      <alignment horizontal="left" readingOrder="0" shrinkToFit="0" vertical="top" wrapText="1"/>
    </xf>
    <xf borderId="5" fillId="2" fontId="1" numFmtId="0" xfId="0" applyAlignment="1" applyBorder="1" applyFont="1">
      <alignment horizontal="right" readingOrder="0" shrinkToFit="0" vertical="top" wrapText="1"/>
    </xf>
    <xf borderId="0" fillId="2" fontId="1" numFmtId="0" xfId="0" applyAlignment="1" applyFont="1">
      <alignment horizontal="right" shrinkToFit="0" vertical="top" wrapText="1"/>
    </xf>
    <xf borderId="16" fillId="2" fontId="1" numFmtId="0" xfId="0" applyBorder="1" applyFont="1"/>
    <xf borderId="8" fillId="2" fontId="8" numFmtId="0" xfId="0" applyAlignment="1" applyBorder="1" applyFont="1">
      <alignment horizontal="left" readingOrder="0" shrinkToFit="0" vertical="top" wrapText="1"/>
    </xf>
    <xf borderId="5" fillId="2" fontId="8" numFmtId="0" xfId="0" applyAlignment="1" applyBorder="1" applyFont="1">
      <alignment horizontal="left" readingOrder="0" shrinkToFit="0" vertical="top" wrapText="1"/>
    </xf>
    <xf borderId="8" fillId="2" fontId="8" numFmtId="0" xfId="0" applyAlignment="1" applyBorder="1" applyFont="1">
      <alignment horizontal="left" shrinkToFit="0" vertical="top" wrapText="1"/>
    </xf>
    <xf borderId="9" fillId="2" fontId="8" numFmtId="0" xfId="0" applyAlignment="1" applyBorder="1" applyFont="1">
      <alignment horizontal="left" readingOrder="0" shrinkToFit="0" vertical="top" wrapText="1"/>
    </xf>
    <xf borderId="5" fillId="2" fontId="8" numFmtId="0" xfId="0" applyAlignment="1" applyBorder="1" applyFont="1">
      <alignment horizontal="right" shrinkToFit="0" vertical="top" wrapText="1"/>
    </xf>
    <xf borderId="5" fillId="5" fontId="8" numFmtId="0" xfId="0" applyAlignment="1" applyBorder="1" applyFont="1">
      <alignment horizontal="right" shrinkToFit="0" vertical="top" wrapText="1"/>
    </xf>
    <xf borderId="5" fillId="2" fontId="8" numFmtId="0" xfId="0" applyAlignment="1" applyBorder="1" applyFont="1">
      <alignment horizontal="right" readingOrder="0" shrinkToFit="0" vertical="top" wrapText="1"/>
    </xf>
    <xf borderId="5" fillId="6" fontId="8" numFmtId="0" xfId="0" applyAlignment="1" applyBorder="1" applyFont="1">
      <alignment horizontal="right" shrinkToFit="0" vertical="top" wrapText="1"/>
    </xf>
    <xf borderId="5" fillId="2" fontId="8" numFmtId="0" xfId="0" applyAlignment="1" applyBorder="1" applyFont="1">
      <alignment horizontal="left" shrinkToFit="0" vertical="top" wrapText="1"/>
    </xf>
    <xf borderId="1" fillId="2" fontId="4" numFmtId="0" xfId="0" applyAlignment="1" applyBorder="1" applyFont="1">
      <alignment horizontal="center"/>
    </xf>
    <xf borderId="5" fillId="3" fontId="5" numFmtId="0" xfId="0" applyAlignment="1" applyBorder="1" applyFont="1">
      <alignment horizontal="center"/>
    </xf>
    <xf borderId="5" fillId="2" fontId="9"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1.43"/>
    <col customWidth="1" min="2" max="2" width="16.43"/>
    <col customWidth="1" min="3" max="3" width="45.57"/>
    <col customWidth="1" min="4" max="4" width="41.29"/>
    <col customWidth="1" min="5" max="5" width="21.29"/>
    <col customWidth="1" min="6" max="6" width="11.0"/>
    <col customWidth="1" min="7" max="7" width="15.43"/>
    <col customWidth="1" min="8" max="8" width="9.71"/>
    <col customWidth="1" min="9" max="9" width="20.14"/>
    <col customWidth="1" min="10" max="10" width="2.71"/>
    <col customWidth="1" min="11" max="11" width="9.71"/>
    <col customWidth="1" min="12" max="12" width="15.57"/>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4"/>
      <c r="B4" s="4"/>
      <c r="C4" s="4"/>
      <c r="D4" s="4"/>
      <c r="E4" s="4"/>
      <c r="F4" s="4"/>
      <c r="G4" s="4"/>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c r="AZ4" s="7"/>
      <c r="BA4" s="5" t="s">
        <v>18</v>
      </c>
      <c r="BB4" s="6"/>
      <c r="BC4" s="7"/>
      <c r="BD4" s="5" t="s">
        <v>19</v>
      </c>
      <c r="BE4" s="6"/>
      <c r="BF4" s="7"/>
      <c r="BG4" s="5" t="s">
        <v>20</v>
      </c>
      <c r="BH4" s="6"/>
      <c r="BI4" s="7"/>
      <c r="BJ4" s="5" t="s">
        <v>21</v>
      </c>
      <c r="BK4" s="6"/>
      <c r="BL4" s="7"/>
      <c r="BM4" s="5" t="s">
        <v>22</v>
      </c>
      <c r="BN4" s="6"/>
      <c r="BO4" s="7"/>
      <c r="BP4" s="5" t="s">
        <v>23</v>
      </c>
      <c r="BQ4" s="6"/>
    </row>
    <row r="5">
      <c r="A5" s="4"/>
      <c r="B5" s="8" t="s">
        <v>24</v>
      </c>
      <c r="C5" s="8" t="s">
        <v>25</v>
      </c>
      <c r="D5" s="8" t="s">
        <v>26</v>
      </c>
      <c r="E5" s="8" t="s">
        <v>27</v>
      </c>
      <c r="F5" s="8" t="s">
        <v>28</v>
      </c>
      <c r="G5" s="8"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10"/>
      <c r="B6" s="11"/>
      <c r="C6" s="12"/>
      <c r="D6" s="13" t="s">
        <v>32</v>
      </c>
      <c r="E6" s="13" t="s">
        <v>33</v>
      </c>
      <c r="F6" s="13" t="s">
        <v>34</v>
      </c>
      <c r="G6" s="13">
        <v>10.0</v>
      </c>
      <c r="H6" s="14">
        <v>4.0</v>
      </c>
      <c r="I6" s="14">
        <f t="shared" ref="I6:I14" si="1">G6-H6</f>
        <v>6</v>
      </c>
      <c r="J6" s="15"/>
      <c r="K6" s="14">
        <v>4.0</v>
      </c>
      <c r="L6" s="14">
        <f t="shared" ref="L6:L10" si="2">I6-K6</f>
        <v>2</v>
      </c>
      <c r="M6" s="15"/>
      <c r="N6" s="14">
        <v>0.0</v>
      </c>
      <c r="O6" s="14">
        <f t="shared" ref="O6:O14" si="3">L6-N6</f>
        <v>2</v>
      </c>
      <c r="P6" s="15"/>
      <c r="Q6" s="14">
        <v>2.0</v>
      </c>
      <c r="R6" s="14">
        <f t="shared" ref="R6:R14" si="4">O6-Q6</f>
        <v>0</v>
      </c>
      <c r="S6" s="15"/>
      <c r="T6" s="14">
        <v>0.0</v>
      </c>
      <c r="U6" s="14">
        <f t="shared" ref="U6:U14" si="5">R6-T6</f>
        <v>0</v>
      </c>
      <c r="V6" s="15"/>
      <c r="W6" s="14">
        <v>0.0</v>
      </c>
      <c r="X6" s="14">
        <f t="shared" ref="X6:X14" si="6">U6-W6</f>
        <v>0</v>
      </c>
      <c r="Y6" s="15"/>
      <c r="Z6" s="14">
        <v>0.0</v>
      </c>
      <c r="AA6" s="14">
        <f t="shared" ref="AA6:AA14" si="7">X6-Z6</f>
        <v>0</v>
      </c>
      <c r="AB6" s="15"/>
      <c r="AC6" s="14"/>
      <c r="AD6" s="14">
        <f t="shared" ref="AD6:AD14" si="8">AA6-AC6</f>
        <v>0</v>
      </c>
      <c r="AE6" s="15"/>
      <c r="AF6" s="14">
        <v>0.0</v>
      </c>
      <c r="AG6" s="14">
        <f t="shared" ref="AG6:AG14" si="9">AD6-AF6</f>
        <v>0</v>
      </c>
      <c r="AH6" s="15"/>
      <c r="AI6" s="14">
        <v>0.0</v>
      </c>
      <c r="AJ6" s="14">
        <f t="shared" ref="AJ6:AJ14" si="10">AG6-AI6</f>
        <v>0</v>
      </c>
      <c r="AK6" s="15"/>
      <c r="AL6" s="14">
        <v>0.0</v>
      </c>
      <c r="AM6" s="14">
        <f t="shared" ref="AM6:AM14" si="11">AJ6-AL6</f>
        <v>0</v>
      </c>
      <c r="AN6" s="15"/>
      <c r="AO6" s="14">
        <v>0.0</v>
      </c>
      <c r="AP6" s="14">
        <f t="shared" ref="AP6:AP8" si="12">AM6-AO6</f>
        <v>0</v>
      </c>
      <c r="AQ6" s="15"/>
      <c r="AR6" s="14"/>
      <c r="AS6" s="14">
        <f t="shared" ref="AS6:AS8" si="13">AP6-AR6</f>
        <v>0</v>
      </c>
      <c r="AT6" s="15"/>
      <c r="AU6" s="14"/>
      <c r="AV6" s="14">
        <f t="shared" ref="AV6:AV14" si="14">AS6-AU6</f>
        <v>0</v>
      </c>
      <c r="AW6" s="15"/>
      <c r="AX6" s="14">
        <v>0.0</v>
      </c>
      <c r="AY6" s="14">
        <f t="shared" ref="AY6:AY14" si="15">AV6-AX6</f>
        <v>0</v>
      </c>
      <c r="AZ6" s="15"/>
      <c r="BA6" s="14"/>
      <c r="BB6" s="14">
        <f t="shared" ref="BB6:BB11" si="16">AY6-BA6</f>
        <v>0</v>
      </c>
      <c r="BC6" s="15"/>
      <c r="BD6" s="14"/>
      <c r="BE6" s="14">
        <f t="shared" ref="BE6:BE10" si="17">BB6-BD6</f>
        <v>0</v>
      </c>
      <c r="BF6" s="15"/>
      <c r="BG6" s="14"/>
      <c r="BH6" s="14">
        <f t="shared" ref="BH6:BH11" si="18">BE6-BG6</f>
        <v>0</v>
      </c>
      <c r="BI6" s="15"/>
      <c r="BJ6" s="14"/>
      <c r="BK6" s="14">
        <f t="shared" ref="BK6:BK10" si="19">BH6-BJ6</f>
        <v>0</v>
      </c>
      <c r="BL6" s="15"/>
      <c r="BM6" s="14"/>
      <c r="BN6" s="14">
        <f t="shared" ref="BN6:BN14" si="20">BK6-BM6</f>
        <v>0</v>
      </c>
      <c r="BO6" s="15"/>
      <c r="BP6" s="16">
        <f>H6+K6+N6+Q6+T6+W6+Z6+AC6+AF6+AI6+AL6+AO6+AR6+AU6+AX6+BA6+BD6+BG6+BJ6+BM6</f>
        <v>10</v>
      </c>
      <c r="BQ6" s="16">
        <f t="shared" ref="BQ6:BQ14" si="21">G6-BP6</f>
        <v>0</v>
      </c>
    </row>
    <row r="7" ht="30.0" customHeight="1">
      <c r="A7" s="17"/>
      <c r="B7" s="18"/>
      <c r="C7" s="18"/>
      <c r="D7" s="13" t="s">
        <v>35</v>
      </c>
      <c r="E7" s="13" t="s">
        <v>33</v>
      </c>
      <c r="F7" s="13" t="s">
        <v>34</v>
      </c>
      <c r="G7" s="13">
        <v>8.0</v>
      </c>
      <c r="H7" s="14">
        <v>0.0</v>
      </c>
      <c r="I7" s="14">
        <f t="shared" si="1"/>
        <v>8</v>
      </c>
      <c r="J7" s="15"/>
      <c r="K7" s="14">
        <v>0.0</v>
      </c>
      <c r="L7" s="14">
        <f t="shared" si="2"/>
        <v>8</v>
      </c>
      <c r="M7" s="15"/>
      <c r="N7" s="14">
        <v>2.0</v>
      </c>
      <c r="O7" s="14">
        <f t="shared" si="3"/>
        <v>6</v>
      </c>
      <c r="P7" s="15"/>
      <c r="Q7" s="14">
        <v>2.0</v>
      </c>
      <c r="R7" s="14">
        <f t="shared" si="4"/>
        <v>4</v>
      </c>
      <c r="S7" s="15"/>
      <c r="T7" s="14">
        <v>1.0</v>
      </c>
      <c r="U7" s="14">
        <f t="shared" si="5"/>
        <v>3</v>
      </c>
      <c r="V7" s="15"/>
      <c r="W7" s="14">
        <v>0.0</v>
      </c>
      <c r="X7" s="14">
        <f t="shared" si="6"/>
        <v>3</v>
      </c>
      <c r="Y7" s="15"/>
      <c r="Z7" s="14">
        <v>0.0</v>
      </c>
      <c r="AA7" s="14">
        <f t="shared" si="7"/>
        <v>3</v>
      </c>
      <c r="AB7" s="15"/>
      <c r="AC7" s="14">
        <v>0.0</v>
      </c>
      <c r="AD7" s="14">
        <f t="shared" si="8"/>
        <v>3</v>
      </c>
      <c r="AE7" s="15"/>
      <c r="AF7" s="14">
        <v>3.0</v>
      </c>
      <c r="AG7" s="14">
        <f t="shared" si="9"/>
        <v>0</v>
      </c>
      <c r="AH7" s="15"/>
      <c r="AI7" s="14">
        <v>0.0</v>
      </c>
      <c r="AJ7" s="14">
        <f t="shared" si="10"/>
        <v>0</v>
      </c>
      <c r="AK7" s="15"/>
      <c r="AL7" s="14">
        <v>0.0</v>
      </c>
      <c r="AM7" s="14">
        <f t="shared" si="11"/>
        <v>0</v>
      </c>
      <c r="AN7" s="15"/>
      <c r="AO7" s="14">
        <v>0.0</v>
      </c>
      <c r="AP7" s="14">
        <f t="shared" si="12"/>
        <v>0</v>
      </c>
      <c r="AQ7" s="15"/>
      <c r="AR7" s="14"/>
      <c r="AS7" s="14">
        <f t="shared" si="13"/>
        <v>0</v>
      </c>
      <c r="AT7" s="15"/>
      <c r="AU7" s="14"/>
      <c r="AV7" s="14">
        <f t="shared" si="14"/>
        <v>0</v>
      </c>
      <c r="AW7" s="15"/>
      <c r="AX7" s="14">
        <v>0.0</v>
      </c>
      <c r="AY7" s="14">
        <f t="shared" si="15"/>
        <v>0</v>
      </c>
      <c r="AZ7" s="15"/>
      <c r="BA7" s="14"/>
      <c r="BB7" s="14">
        <f t="shared" si="16"/>
        <v>0</v>
      </c>
      <c r="BC7" s="15"/>
      <c r="BD7" s="14"/>
      <c r="BE7" s="14">
        <f t="shared" si="17"/>
        <v>0</v>
      </c>
      <c r="BF7" s="15"/>
      <c r="BG7" s="14"/>
      <c r="BH7" s="14">
        <f t="shared" si="18"/>
        <v>0</v>
      </c>
      <c r="BI7" s="15"/>
      <c r="BJ7" s="14"/>
      <c r="BK7" s="14">
        <f t="shared" si="19"/>
        <v>0</v>
      </c>
      <c r="BL7" s="15"/>
      <c r="BM7" s="14"/>
      <c r="BN7" s="14">
        <f t="shared" si="20"/>
        <v>0</v>
      </c>
      <c r="BO7" s="15"/>
      <c r="BP7" s="16">
        <v>0.0</v>
      </c>
      <c r="BQ7" s="16">
        <f t="shared" si="21"/>
        <v>8</v>
      </c>
    </row>
    <row r="8">
      <c r="A8" s="19"/>
      <c r="B8" s="11"/>
      <c r="C8" s="12"/>
      <c r="D8" s="13" t="s">
        <v>36</v>
      </c>
      <c r="E8" s="13" t="s">
        <v>33</v>
      </c>
      <c r="F8" s="13" t="s">
        <v>34</v>
      </c>
      <c r="G8" s="13">
        <v>8.0</v>
      </c>
      <c r="H8" s="14">
        <v>0.0</v>
      </c>
      <c r="I8" s="14">
        <f t="shared" si="1"/>
        <v>8</v>
      </c>
      <c r="J8" s="15"/>
      <c r="K8" s="14">
        <v>0.0</v>
      </c>
      <c r="L8" s="14">
        <f t="shared" si="2"/>
        <v>8</v>
      </c>
      <c r="M8" s="15"/>
      <c r="N8" s="14">
        <v>0.0</v>
      </c>
      <c r="O8" s="14">
        <f t="shared" si="3"/>
        <v>8</v>
      </c>
      <c r="P8" s="15"/>
      <c r="Q8" s="14">
        <v>0.0</v>
      </c>
      <c r="R8" s="14">
        <f t="shared" si="4"/>
        <v>8</v>
      </c>
      <c r="S8" s="15"/>
      <c r="T8" s="14">
        <v>2.0</v>
      </c>
      <c r="U8" s="14">
        <f t="shared" si="5"/>
        <v>6</v>
      </c>
      <c r="V8" s="15"/>
      <c r="W8" s="14">
        <v>2.0</v>
      </c>
      <c r="X8" s="14">
        <f t="shared" si="6"/>
        <v>4</v>
      </c>
      <c r="Y8" s="15"/>
      <c r="Z8" s="14">
        <v>4.0</v>
      </c>
      <c r="AA8" s="14">
        <f t="shared" si="7"/>
        <v>0</v>
      </c>
      <c r="AB8" s="15"/>
      <c r="AC8" s="14"/>
      <c r="AD8" s="14">
        <f t="shared" si="8"/>
        <v>0</v>
      </c>
      <c r="AE8" s="15"/>
      <c r="AF8" s="14"/>
      <c r="AG8" s="14">
        <f t="shared" si="9"/>
        <v>0</v>
      </c>
      <c r="AH8" s="15"/>
      <c r="AI8" s="14"/>
      <c r="AJ8" s="14">
        <f t="shared" si="10"/>
        <v>0</v>
      </c>
      <c r="AK8" s="15"/>
      <c r="AL8" s="14">
        <v>0.0</v>
      </c>
      <c r="AM8" s="14">
        <f t="shared" si="11"/>
        <v>0</v>
      </c>
      <c r="AN8" s="15"/>
      <c r="AO8" s="14">
        <v>0.0</v>
      </c>
      <c r="AP8" s="14">
        <f t="shared" si="12"/>
        <v>0</v>
      </c>
      <c r="AQ8" s="15"/>
      <c r="AR8" s="14">
        <v>0.0</v>
      </c>
      <c r="AS8" s="14">
        <f t="shared" si="13"/>
        <v>0</v>
      </c>
      <c r="AT8" s="15"/>
      <c r="AU8" s="14">
        <v>0.0</v>
      </c>
      <c r="AV8" s="14">
        <f t="shared" si="14"/>
        <v>0</v>
      </c>
      <c r="AW8" s="15"/>
      <c r="AX8" s="14">
        <v>0.0</v>
      </c>
      <c r="AY8" s="14">
        <f t="shared" si="15"/>
        <v>0</v>
      </c>
      <c r="AZ8" s="15"/>
      <c r="BA8" s="14"/>
      <c r="BB8" s="14">
        <f t="shared" si="16"/>
        <v>0</v>
      </c>
      <c r="BC8" s="15"/>
      <c r="BD8" s="14"/>
      <c r="BE8" s="14">
        <f t="shared" si="17"/>
        <v>0</v>
      </c>
      <c r="BF8" s="15"/>
      <c r="BG8" s="14"/>
      <c r="BH8" s="14">
        <f t="shared" si="18"/>
        <v>0</v>
      </c>
      <c r="BI8" s="15"/>
      <c r="BJ8" s="14"/>
      <c r="BK8" s="14">
        <f t="shared" si="19"/>
        <v>0</v>
      </c>
      <c r="BL8" s="15"/>
      <c r="BM8" s="14"/>
      <c r="BN8" s="14">
        <f t="shared" si="20"/>
        <v>0</v>
      </c>
      <c r="BO8" s="15"/>
      <c r="BP8" s="16">
        <f t="shared" ref="BP8:BP14" si="22">H8+K8+N8+Q8+T8+W8+Z8+AC8+AF8+AI8+AL8+AO8+AR8+AU8+AX8+BA8+BD8+BG8+BJ8+BM8</f>
        <v>8</v>
      </c>
      <c r="BQ8" s="16">
        <f t="shared" si="21"/>
        <v>0</v>
      </c>
    </row>
    <row r="9">
      <c r="A9" s="19"/>
      <c r="B9" s="18"/>
      <c r="C9" s="18"/>
      <c r="D9" s="13" t="s">
        <v>37</v>
      </c>
      <c r="E9" s="13" t="s">
        <v>33</v>
      </c>
      <c r="F9" s="13" t="s">
        <v>34</v>
      </c>
      <c r="G9" s="13">
        <v>12.0</v>
      </c>
      <c r="H9" s="14">
        <v>0.0</v>
      </c>
      <c r="I9" s="14">
        <f t="shared" si="1"/>
        <v>12</v>
      </c>
      <c r="J9" s="15"/>
      <c r="K9" s="14">
        <v>0.0</v>
      </c>
      <c r="L9" s="14">
        <f t="shared" si="2"/>
        <v>12</v>
      </c>
      <c r="M9" s="15"/>
      <c r="N9" s="14">
        <v>0.0</v>
      </c>
      <c r="O9" s="14">
        <f t="shared" si="3"/>
        <v>12</v>
      </c>
      <c r="P9" s="15"/>
      <c r="Q9" s="14">
        <v>0.0</v>
      </c>
      <c r="R9" s="14">
        <f t="shared" si="4"/>
        <v>12</v>
      </c>
      <c r="S9" s="15"/>
      <c r="T9" s="14">
        <v>0.0</v>
      </c>
      <c r="U9" s="14">
        <f t="shared" si="5"/>
        <v>12</v>
      </c>
      <c r="V9" s="15"/>
      <c r="W9" s="14">
        <v>0.0</v>
      </c>
      <c r="X9" s="14">
        <f t="shared" si="6"/>
        <v>12</v>
      </c>
      <c r="Y9" s="15"/>
      <c r="Z9" s="14">
        <v>0.0</v>
      </c>
      <c r="AA9" s="14">
        <f t="shared" si="7"/>
        <v>12</v>
      </c>
      <c r="AB9" s="15"/>
      <c r="AC9" s="14">
        <v>3.0</v>
      </c>
      <c r="AD9" s="14">
        <f t="shared" si="8"/>
        <v>9</v>
      </c>
      <c r="AE9" s="15"/>
      <c r="AF9" s="14">
        <v>3.0</v>
      </c>
      <c r="AG9" s="14">
        <f t="shared" si="9"/>
        <v>6</v>
      </c>
      <c r="AH9" s="15"/>
      <c r="AI9" s="14">
        <v>3.0</v>
      </c>
      <c r="AJ9" s="14">
        <f t="shared" si="10"/>
        <v>3</v>
      </c>
      <c r="AK9" s="15"/>
      <c r="AL9" s="14">
        <v>3.0</v>
      </c>
      <c r="AM9" s="14">
        <f t="shared" si="11"/>
        <v>0</v>
      </c>
      <c r="AN9" s="15"/>
      <c r="AO9" s="14">
        <v>0.0</v>
      </c>
      <c r="AP9" s="14">
        <v>0.0</v>
      </c>
      <c r="AQ9" s="15"/>
      <c r="AR9" s="14">
        <v>0.0</v>
      </c>
      <c r="AS9" s="14">
        <v>0.0</v>
      </c>
      <c r="AT9" s="15"/>
      <c r="AU9" s="14">
        <v>0.0</v>
      </c>
      <c r="AV9" s="14">
        <f t="shared" si="14"/>
        <v>0</v>
      </c>
      <c r="AW9" s="15"/>
      <c r="AX9" s="14">
        <v>0.0</v>
      </c>
      <c r="AY9" s="14">
        <f t="shared" si="15"/>
        <v>0</v>
      </c>
      <c r="AZ9" s="15"/>
      <c r="BA9" s="14">
        <v>0.0</v>
      </c>
      <c r="BB9" s="14">
        <f t="shared" si="16"/>
        <v>0</v>
      </c>
      <c r="BC9" s="15"/>
      <c r="BD9" s="14">
        <v>0.0</v>
      </c>
      <c r="BE9" s="14">
        <f t="shared" si="17"/>
        <v>0</v>
      </c>
      <c r="BF9" s="15"/>
      <c r="BG9" s="14">
        <v>0.0</v>
      </c>
      <c r="BH9" s="14">
        <f t="shared" si="18"/>
        <v>0</v>
      </c>
      <c r="BI9" s="15"/>
      <c r="BJ9" s="14">
        <v>0.0</v>
      </c>
      <c r="BK9" s="14">
        <f t="shared" si="19"/>
        <v>0</v>
      </c>
      <c r="BL9" s="15"/>
      <c r="BM9" s="14">
        <v>0.0</v>
      </c>
      <c r="BN9" s="14">
        <f t="shared" si="20"/>
        <v>0</v>
      </c>
      <c r="BO9" s="15"/>
      <c r="BP9" s="16">
        <f t="shared" si="22"/>
        <v>12</v>
      </c>
      <c r="BQ9" s="16">
        <f t="shared" si="21"/>
        <v>0</v>
      </c>
    </row>
    <row r="10">
      <c r="A10" s="20"/>
      <c r="B10" s="20"/>
      <c r="C10" s="20"/>
      <c r="D10" s="13" t="s">
        <v>38</v>
      </c>
      <c r="E10" s="13" t="s">
        <v>33</v>
      </c>
      <c r="F10" s="13" t="s">
        <v>34</v>
      </c>
      <c r="G10" s="13">
        <v>3.0</v>
      </c>
      <c r="H10" s="14">
        <v>0.0</v>
      </c>
      <c r="I10" s="14">
        <f t="shared" si="1"/>
        <v>3</v>
      </c>
      <c r="J10" s="15"/>
      <c r="K10" s="14">
        <v>0.0</v>
      </c>
      <c r="L10" s="14">
        <f t="shared" si="2"/>
        <v>3</v>
      </c>
      <c r="M10" s="15"/>
      <c r="N10" s="14">
        <v>0.0</v>
      </c>
      <c r="O10" s="14">
        <f t="shared" si="3"/>
        <v>3</v>
      </c>
      <c r="P10" s="15"/>
      <c r="Q10" s="14">
        <v>0.0</v>
      </c>
      <c r="R10" s="14">
        <f t="shared" si="4"/>
        <v>3</v>
      </c>
      <c r="S10" s="15"/>
      <c r="T10" s="14">
        <v>0.0</v>
      </c>
      <c r="U10" s="14">
        <f t="shared" si="5"/>
        <v>3</v>
      </c>
      <c r="V10" s="15"/>
      <c r="W10" s="14">
        <v>0.0</v>
      </c>
      <c r="X10" s="14">
        <f t="shared" si="6"/>
        <v>3</v>
      </c>
      <c r="Y10" s="15"/>
      <c r="Z10" s="14">
        <v>0.0</v>
      </c>
      <c r="AA10" s="14">
        <f t="shared" si="7"/>
        <v>3</v>
      </c>
      <c r="AB10" s="15"/>
      <c r="AC10" s="14"/>
      <c r="AD10" s="14">
        <f t="shared" si="8"/>
        <v>3</v>
      </c>
      <c r="AE10" s="15"/>
      <c r="AF10" s="14"/>
      <c r="AG10" s="14">
        <f t="shared" si="9"/>
        <v>3</v>
      </c>
      <c r="AH10" s="15"/>
      <c r="AI10" s="14"/>
      <c r="AJ10" s="14">
        <f t="shared" si="10"/>
        <v>3</v>
      </c>
      <c r="AK10" s="15"/>
      <c r="AL10" s="14">
        <v>0.0</v>
      </c>
      <c r="AM10" s="14">
        <f t="shared" si="11"/>
        <v>3</v>
      </c>
      <c r="AN10" s="15"/>
      <c r="AO10" s="14">
        <v>3.0</v>
      </c>
      <c r="AP10" s="14">
        <f t="shared" ref="AP10:AP14" si="23">AM10-AO10</f>
        <v>0</v>
      </c>
      <c r="AQ10" s="15"/>
      <c r="AR10" s="14">
        <v>0.0</v>
      </c>
      <c r="AS10" s="14">
        <f t="shared" ref="AS10:AS14" si="24">AP10-AR10</f>
        <v>0</v>
      </c>
      <c r="AT10" s="15"/>
      <c r="AU10" s="14">
        <v>0.0</v>
      </c>
      <c r="AV10" s="14">
        <f t="shared" si="14"/>
        <v>0</v>
      </c>
      <c r="AW10" s="15"/>
      <c r="AX10" s="14">
        <v>0.0</v>
      </c>
      <c r="AY10" s="14">
        <f t="shared" si="15"/>
        <v>0</v>
      </c>
      <c r="AZ10" s="15"/>
      <c r="BA10" s="14">
        <v>0.0</v>
      </c>
      <c r="BB10" s="14">
        <f t="shared" si="16"/>
        <v>0</v>
      </c>
      <c r="BC10" s="15"/>
      <c r="BD10" s="14">
        <v>0.0</v>
      </c>
      <c r="BE10" s="14">
        <f t="shared" si="17"/>
        <v>0</v>
      </c>
      <c r="BF10" s="15"/>
      <c r="BG10" s="14"/>
      <c r="BH10" s="14">
        <f t="shared" si="18"/>
        <v>0</v>
      </c>
      <c r="BI10" s="15"/>
      <c r="BJ10" s="14"/>
      <c r="BK10" s="14">
        <f t="shared" si="19"/>
        <v>0</v>
      </c>
      <c r="BL10" s="15"/>
      <c r="BM10" s="14"/>
      <c r="BN10" s="14">
        <f t="shared" si="20"/>
        <v>0</v>
      </c>
      <c r="BO10" s="15"/>
      <c r="BP10" s="16">
        <f t="shared" si="22"/>
        <v>3</v>
      </c>
      <c r="BQ10" s="16">
        <f t="shared" si="21"/>
        <v>0</v>
      </c>
    </row>
    <row r="11">
      <c r="A11" s="1"/>
      <c r="B11" s="1"/>
      <c r="C11" s="1"/>
      <c r="D11" s="13" t="s">
        <v>39</v>
      </c>
      <c r="E11" s="13" t="s">
        <v>33</v>
      </c>
      <c r="F11" s="13" t="s">
        <v>34</v>
      </c>
      <c r="G11" s="13">
        <v>9.0</v>
      </c>
      <c r="H11" s="14">
        <v>0.0</v>
      </c>
      <c r="I11" s="14">
        <f t="shared" si="1"/>
        <v>9</v>
      </c>
      <c r="J11" s="15"/>
      <c r="K11" s="14">
        <v>0.0</v>
      </c>
      <c r="L11" s="14">
        <v>12.0</v>
      </c>
      <c r="M11" s="15"/>
      <c r="N11" s="14">
        <v>0.0</v>
      </c>
      <c r="O11" s="14">
        <f t="shared" si="3"/>
        <v>12</v>
      </c>
      <c r="P11" s="15"/>
      <c r="Q11" s="14">
        <v>0.0</v>
      </c>
      <c r="R11" s="14">
        <f t="shared" si="4"/>
        <v>12</v>
      </c>
      <c r="S11" s="15"/>
      <c r="T11" s="14">
        <v>0.0</v>
      </c>
      <c r="U11" s="14">
        <f t="shared" si="5"/>
        <v>12</v>
      </c>
      <c r="V11" s="15"/>
      <c r="W11" s="14">
        <v>0.0</v>
      </c>
      <c r="X11" s="14">
        <f t="shared" si="6"/>
        <v>12</v>
      </c>
      <c r="Y11" s="15"/>
      <c r="Z11" s="14">
        <v>0.0</v>
      </c>
      <c r="AA11" s="14">
        <f t="shared" si="7"/>
        <v>12</v>
      </c>
      <c r="AB11" s="15"/>
      <c r="AC11" s="14"/>
      <c r="AD11" s="14">
        <f t="shared" si="8"/>
        <v>12</v>
      </c>
      <c r="AE11" s="15"/>
      <c r="AF11" s="14"/>
      <c r="AG11" s="14">
        <f t="shared" si="9"/>
        <v>12</v>
      </c>
      <c r="AH11" s="15"/>
      <c r="AI11" s="14"/>
      <c r="AJ11" s="14">
        <f t="shared" si="10"/>
        <v>12</v>
      </c>
      <c r="AK11" s="15"/>
      <c r="AL11" s="14"/>
      <c r="AM11" s="14">
        <f t="shared" si="11"/>
        <v>12</v>
      </c>
      <c r="AN11" s="15"/>
      <c r="AO11" s="14"/>
      <c r="AP11" s="14">
        <f t="shared" si="23"/>
        <v>12</v>
      </c>
      <c r="AQ11" s="15"/>
      <c r="AR11" s="14">
        <v>3.0</v>
      </c>
      <c r="AS11" s="14">
        <f t="shared" si="24"/>
        <v>9</v>
      </c>
      <c r="AT11" s="15"/>
      <c r="AU11" s="14">
        <v>3.0</v>
      </c>
      <c r="AV11" s="14">
        <f t="shared" si="14"/>
        <v>6</v>
      </c>
      <c r="AW11" s="15"/>
      <c r="AX11" s="14">
        <v>3.0</v>
      </c>
      <c r="AY11" s="14">
        <f t="shared" si="15"/>
        <v>3</v>
      </c>
      <c r="AZ11" s="15"/>
      <c r="BA11" s="14"/>
      <c r="BB11" s="14">
        <f t="shared" si="16"/>
        <v>3</v>
      </c>
      <c r="BC11" s="15"/>
      <c r="BD11" s="14">
        <v>0.0</v>
      </c>
      <c r="BE11" s="14">
        <v>0.0</v>
      </c>
      <c r="BF11" s="15"/>
      <c r="BG11" s="14">
        <v>0.0</v>
      </c>
      <c r="BH11" s="14">
        <f t="shared" si="18"/>
        <v>0</v>
      </c>
      <c r="BI11" s="15"/>
      <c r="BJ11" s="14">
        <v>0.0</v>
      </c>
      <c r="BK11" s="14">
        <v>0.0</v>
      </c>
      <c r="BL11" s="15"/>
      <c r="BM11" s="14">
        <v>0.0</v>
      </c>
      <c r="BN11" s="14">
        <f t="shared" si="20"/>
        <v>0</v>
      </c>
      <c r="BO11" s="15"/>
      <c r="BP11" s="16">
        <f t="shared" si="22"/>
        <v>9</v>
      </c>
      <c r="BQ11" s="16">
        <f t="shared" si="21"/>
        <v>0</v>
      </c>
    </row>
    <row r="12">
      <c r="A12" s="1"/>
      <c r="B12" s="1"/>
      <c r="C12" s="1"/>
      <c r="D12" s="13" t="s">
        <v>40</v>
      </c>
      <c r="E12" s="13" t="s">
        <v>33</v>
      </c>
      <c r="F12" s="13" t="s">
        <v>34</v>
      </c>
      <c r="G12" s="13">
        <v>7.0</v>
      </c>
      <c r="H12" s="14">
        <v>0.0</v>
      </c>
      <c r="I12" s="14">
        <f t="shared" si="1"/>
        <v>7</v>
      </c>
      <c r="J12" s="15"/>
      <c r="K12" s="14">
        <v>0.0</v>
      </c>
      <c r="L12" s="14">
        <f t="shared" ref="L12:L14" si="25">I12-K12</f>
        <v>7</v>
      </c>
      <c r="M12" s="15"/>
      <c r="N12" s="14">
        <v>0.0</v>
      </c>
      <c r="O12" s="14">
        <f t="shared" si="3"/>
        <v>7</v>
      </c>
      <c r="P12" s="15"/>
      <c r="Q12" s="14">
        <v>0.0</v>
      </c>
      <c r="R12" s="14">
        <f t="shared" si="4"/>
        <v>7</v>
      </c>
      <c r="S12" s="15"/>
      <c r="T12" s="14">
        <v>0.0</v>
      </c>
      <c r="U12" s="14">
        <f t="shared" si="5"/>
        <v>7</v>
      </c>
      <c r="V12" s="15"/>
      <c r="W12" s="14">
        <v>0.0</v>
      </c>
      <c r="X12" s="14">
        <f t="shared" si="6"/>
        <v>7</v>
      </c>
      <c r="Y12" s="15"/>
      <c r="Z12" s="14">
        <v>0.0</v>
      </c>
      <c r="AA12" s="14">
        <f t="shared" si="7"/>
        <v>7</v>
      </c>
      <c r="AB12" s="15"/>
      <c r="AC12" s="14"/>
      <c r="AD12" s="14">
        <f t="shared" si="8"/>
        <v>7</v>
      </c>
      <c r="AE12" s="15"/>
      <c r="AF12" s="14"/>
      <c r="AG12" s="14">
        <f t="shared" si="9"/>
        <v>7</v>
      </c>
      <c r="AH12" s="15"/>
      <c r="AI12" s="14"/>
      <c r="AJ12" s="14">
        <f t="shared" si="10"/>
        <v>7</v>
      </c>
      <c r="AK12" s="15"/>
      <c r="AL12" s="14">
        <v>0.0</v>
      </c>
      <c r="AM12" s="14">
        <f t="shared" si="11"/>
        <v>7</v>
      </c>
      <c r="AN12" s="15"/>
      <c r="AO12" s="14">
        <v>0.0</v>
      </c>
      <c r="AP12" s="14">
        <f t="shared" si="23"/>
        <v>7</v>
      </c>
      <c r="AQ12" s="15"/>
      <c r="AR12" s="14">
        <v>0.0</v>
      </c>
      <c r="AS12" s="14">
        <f t="shared" si="24"/>
        <v>7</v>
      </c>
      <c r="AT12" s="15"/>
      <c r="AU12" s="14">
        <v>0.0</v>
      </c>
      <c r="AV12" s="14">
        <f t="shared" si="14"/>
        <v>7</v>
      </c>
      <c r="AW12" s="15"/>
      <c r="AX12" s="14">
        <v>0.0</v>
      </c>
      <c r="AY12" s="14">
        <f t="shared" si="15"/>
        <v>7</v>
      </c>
      <c r="AZ12" s="15"/>
      <c r="BA12" s="14">
        <v>4.0</v>
      </c>
      <c r="BB12" s="14">
        <v>7.0</v>
      </c>
      <c r="BC12" s="15"/>
      <c r="BD12" s="14">
        <v>3.0</v>
      </c>
      <c r="BE12" s="14">
        <v>4.0</v>
      </c>
      <c r="BF12" s="15"/>
      <c r="BG12" s="14">
        <v>0.0</v>
      </c>
      <c r="BH12" s="14">
        <v>0.0</v>
      </c>
      <c r="BI12" s="15"/>
      <c r="BJ12" s="14">
        <v>0.0</v>
      </c>
      <c r="BK12" s="14">
        <f t="shared" ref="BK12:BK14" si="26">BH12-BJ12</f>
        <v>0</v>
      </c>
      <c r="BL12" s="15"/>
      <c r="BM12" s="14"/>
      <c r="BN12" s="14">
        <f t="shared" si="20"/>
        <v>0</v>
      </c>
      <c r="BO12" s="15"/>
      <c r="BP12" s="16">
        <f t="shared" si="22"/>
        <v>7</v>
      </c>
      <c r="BQ12" s="16">
        <f t="shared" si="21"/>
        <v>0</v>
      </c>
    </row>
    <row r="13" ht="15.75" customHeight="1">
      <c r="A13" s="1"/>
      <c r="B13" s="1"/>
      <c r="C13" s="1"/>
      <c r="D13" s="13" t="s">
        <v>41</v>
      </c>
      <c r="E13" s="13" t="s">
        <v>33</v>
      </c>
      <c r="F13" s="13" t="s">
        <v>34</v>
      </c>
      <c r="G13" s="13">
        <v>5.0</v>
      </c>
      <c r="H13" s="14">
        <v>0.0</v>
      </c>
      <c r="I13" s="14">
        <f t="shared" si="1"/>
        <v>5</v>
      </c>
      <c r="J13" s="15"/>
      <c r="K13" s="14">
        <v>0.0</v>
      </c>
      <c r="L13" s="14">
        <f t="shared" si="25"/>
        <v>5</v>
      </c>
      <c r="M13" s="15"/>
      <c r="N13" s="14">
        <v>0.0</v>
      </c>
      <c r="O13" s="14">
        <f t="shared" si="3"/>
        <v>5</v>
      </c>
      <c r="P13" s="15"/>
      <c r="Q13" s="14">
        <v>0.0</v>
      </c>
      <c r="R13" s="14">
        <f t="shared" si="4"/>
        <v>5</v>
      </c>
      <c r="S13" s="15"/>
      <c r="T13" s="14">
        <v>0.0</v>
      </c>
      <c r="U13" s="14">
        <f t="shared" si="5"/>
        <v>5</v>
      </c>
      <c r="V13" s="15"/>
      <c r="W13" s="14">
        <v>0.0</v>
      </c>
      <c r="X13" s="14">
        <f t="shared" si="6"/>
        <v>5</v>
      </c>
      <c r="Y13" s="15"/>
      <c r="Z13" s="14">
        <v>0.0</v>
      </c>
      <c r="AA13" s="14">
        <f t="shared" si="7"/>
        <v>5</v>
      </c>
      <c r="AB13" s="15"/>
      <c r="AC13" s="14"/>
      <c r="AD13" s="14">
        <f t="shared" si="8"/>
        <v>5</v>
      </c>
      <c r="AE13" s="15"/>
      <c r="AF13" s="14"/>
      <c r="AG13" s="14">
        <f t="shared" si="9"/>
        <v>5</v>
      </c>
      <c r="AH13" s="15"/>
      <c r="AI13" s="14"/>
      <c r="AJ13" s="14">
        <f t="shared" si="10"/>
        <v>5</v>
      </c>
      <c r="AK13" s="15"/>
      <c r="AL13" s="14"/>
      <c r="AM13" s="14">
        <f t="shared" si="11"/>
        <v>5</v>
      </c>
      <c r="AN13" s="15"/>
      <c r="AO13" s="14"/>
      <c r="AP13" s="14">
        <f t="shared" si="23"/>
        <v>5</v>
      </c>
      <c r="AQ13" s="15"/>
      <c r="AR13" s="14"/>
      <c r="AS13" s="14">
        <f t="shared" si="24"/>
        <v>5</v>
      </c>
      <c r="AT13" s="15"/>
      <c r="AU13" s="14"/>
      <c r="AV13" s="14">
        <f t="shared" si="14"/>
        <v>5</v>
      </c>
      <c r="AW13" s="15"/>
      <c r="AX13" s="14"/>
      <c r="AY13" s="14">
        <f t="shared" si="15"/>
        <v>5</v>
      </c>
      <c r="AZ13" s="15"/>
      <c r="BA13" s="14">
        <v>0.0</v>
      </c>
      <c r="BB13" s="14">
        <f t="shared" ref="BB13:BB14" si="27">AY13-BA13</f>
        <v>5</v>
      </c>
      <c r="BC13" s="15"/>
      <c r="BD13" s="14">
        <v>0.0</v>
      </c>
      <c r="BE13" s="14">
        <f t="shared" ref="BE13:BE14" si="28">BB13-BD13</f>
        <v>5</v>
      </c>
      <c r="BF13" s="15"/>
      <c r="BG13" s="14">
        <v>0.0</v>
      </c>
      <c r="BH13" s="14">
        <f t="shared" ref="BH13:BH14" si="29">BE13-BG13</f>
        <v>5</v>
      </c>
      <c r="BI13" s="15"/>
      <c r="BJ13" s="14">
        <v>3.0</v>
      </c>
      <c r="BK13" s="14">
        <f t="shared" si="26"/>
        <v>2</v>
      </c>
      <c r="BL13" s="15"/>
      <c r="BM13" s="14">
        <v>2.0</v>
      </c>
      <c r="BN13" s="14">
        <f t="shared" si="20"/>
        <v>0</v>
      </c>
      <c r="BO13" s="15"/>
      <c r="BP13" s="16">
        <f t="shared" si="22"/>
        <v>5</v>
      </c>
      <c r="BQ13" s="16">
        <f t="shared" si="21"/>
        <v>0</v>
      </c>
    </row>
    <row r="14" ht="15.75" customHeight="1">
      <c r="A14" s="1"/>
      <c r="B14" s="1"/>
      <c r="C14" s="1"/>
      <c r="D14" s="13" t="s">
        <v>42</v>
      </c>
      <c r="E14" s="13" t="s">
        <v>33</v>
      </c>
      <c r="F14" s="13" t="s">
        <v>34</v>
      </c>
      <c r="G14" s="13">
        <v>10.0</v>
      </c>
      <c r="H14" s="14">
        <v>0.0</v>
      </c>
      <c r="I14" s="14">
        <f t="shared" si="1"/>
        <v>10</v>
      </c>
      <c r="J14" s="15"/>
      <c r="K14" s="14">
        <v>0.0</v>
      </c>
      <c r="L14" s="14">
        <f t="shared" si="25"/>
        <v>10</v>
      </c>
      <c r="M14" s="15"/>
      <c r="N14" s="14">
        <v>0.0</v>
      </c>
      <c r="O14" s="14">
        <f t="shared" si="3"/>
        <v>10</v>
      </c>
      <c r="P14" s="15"/>
      <c r="Q14" s="14">
        <v>0.0</v>
      </c>
      <c r="R14" s="14">
        <f t="shared" si="4"/>
        <v>10</v>
      </c>
      <c r="S14" s="15"/>
      <c r="T14" s="14">
        <v>0.0</v>
      </c>
      <c r="U14" s="14">
        <f t="shared" si="5"/>
        <v>10</v>
      </c>
      <c r="V14" s="15"/>
      <c r="W14" s="14">
        <v>0.0</v>
      </c>
      <c r="X14" s="14">
        <f t="shared" si="6"/>
        <v>10</v>
      </c>
      <c r="Y14" s="15"/>
      <c r="Z14" s="14">
        <v>0.0</v>
      </c>
      <c r="AA14" s="14">
        <f t="shared" si="7"/>
        <v>10</v>
      </c>
      <c r="AB14" s="15"/>
      <c r="AC14" s="14"/>
      <c r="AD14" s="14">
        <f t="shared" si="8"/>
        <v>10</v>
      </c>
      <c r="AE14" s="15"/>
      <c r="AF14" s="14"/>
      <c r="AG14" s="14">
        <f t="shared" si="9"/>
        <v>10</v>
      </c>
      <c r="AH14" s="15"/>
      <c r="AI14" s="14"/>
      <c r="AJ14" s="14">
        <f t="shared" si="10"/>
        <v>10</v>
      </c>
      <c r="AK14" s="15"/>
      <c r="AL14" s="14"/>
      <c r="AM14" s="14">
        <f t="shared" si="11"/>
        <v>10</v>
      </c>
      <c r="AN14" s="15"/>
      <c r="AO14" s="14"/>
      <c r="AP14" s="14">
        <f t="shared" si="23"/>
        <v>10</v>
      </c>
      <c r="AQ14" s="15"/>
      <c r="AR14" s="14"/>
      <c r="AS14" s="14">
        <f t="shared" si="24"/>
        <v>10</v>
      </c>
      <c r="AT14" s="15"/>
      <c r="AU14" s="14"/>
      <c r="AV14" s="14">
        <f t="shared" si="14"/>
        <v>10</v>
      </c>
      <c r="AW14" s="15"/>
      <c r="AX14" s="14"/>
      <c r="AY14" s="14">
        <f t="shared" si="15"/>
        <v>10</v>
      </c>
      <c r="AZ14" s="15"/>
      <c r="BA14" s="14">
        <v>0.0</v>
      </c>
      <c r="BB14" s="14">
        <f t="shared" si="27"/>
        <v>10</v>
      </c>
      <c r="BC14" s="15"/>
      <c r="BD14" s="14">
        <v>2.0</v>
      </c>
      <c r="BE14" s="14">
        <f t="shared" si="28"/>
        <v>8</v>
      </c>
      <c r="BF14" s="15"/>
      <c r="BG14" s="14">
        <v>3.0</v>
      </c>
      <c r="BH14" s="14">
        <f t="shared" si="29"/>
        <v>5</v>
      </c>
      <c r="BI14" s="15"/>
      <c r="BJ14" s="14">
        <v>3.0</v>
      </c>
      <c r="BK14" s="14">
        <f t="shared" si="26"/>
        <v>2</v>
      </c>
      <c r="BL14" s="15"/>
      <c r="BM14" s="14">
        <v>2.0</v>
      </c>
      <c r="BN14" s="14">
        <f t="shared" si="20"/>
        <v>0</v>
      </c>
      <c r="BO14" s="15"/>
      <c r="BP14" s="16">
        <f t="shared" si="22"/>
        <v>10</v>
      </c>
      <c r="BQ14" s="16">
        <f t="shared" si="21"/>
        <v>0</v>
      </c>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sheetData>
  <mergeCells count="25">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B6:B7"/>
    <mergeCell ref="C6:C7"/>
    <mergeCell ref="B8:B9"/>
    <mergeCell ref="C8:C9"/>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4" manualBreakCount="4">
    <brk id="52" man="1"/>
    <brk id="36"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1.43"/>
    <col customWidth="1" min="2" max="2" width="16.43"/>
    <col customWidth="1" min="3" max="3" width="45.57"/>
    <col customWidth="1" min="4" max="4" width="41.29"/>
    <col customWidth="1" min="5" max="5" width="21.29"/>
    <col customWidth="1" min="6" max="6" width="11.0"/>
    <col customWidth="1" min="7" max="7" width="15.43"/>
    <col customWidth="1" min="8" max="8" width="9.71"/>
    <col customWidth="1" min="9" max="9" width="20.14"/>
    <col customWidth="1" min="10" max="10" width="2.71"/>
    <col customWidth="1" min="11" max="11" width="9.71"/>
    <col customWidth="1" min="12" max="12" width="15.57"/>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4"/>
      <c r="B4" s="4"/>
      <c r="C4" s="4"/>
      <c r="D4" s="4"/>
      <c r="E4" s="4"/>
      <c r="F4" s="4"/>
      <c r="G4" s="4"/>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c r="AZ4" s="7"/>
      <c r="BA4" s="5" t="s">
        <v>18</v>
      </c>
      <c r="BB4" s="6"/>
      <c r="BC4" s="7"/>
      <c r="BD4" s="5" t="s">
        <v>19</v>
      </c>
      <c r="BE4" s="6"/>
      <c r="BF4" s="7"/>
      <c r="BG4" s="5" t="s">
        <v>20</v>
      </c>
      <c r="BH4" s="6"/>
      <c r="BI4" s="7"/>
      <c r="BJ4" s="5" t="s">
        <v>21</v>
      </c>
      <c r="BK4" s="6"/>
      <c r="BL4" s="7"/>
      <c r="BM4" s="5" t="s">
        <v>22</v>
      </c>
      <c r="BN4" s="6"/>
      <c r="BO4" s="7"/>
      <c r="BP4" s="5" t="s">
        <v>23</v>
      </c>
      <c r="BQ4" s="6"/>
    </row>
    <row r="5">
      <c r="A5" s="4"/>
      <c r="B5" s="8" t="s">
        <v>24</v>
      </c>
      <c r="C5" s="8" t="s">
        <v>25</v>
      </c>
      <c r="D5" s="8" t="s">
        <v>26</v>
      </c>
      <c r="E5" s="8" t="s">
        <v>27</v>
      </c>
      <c r="F5" s="8" t="s">
        <v>28</v>
      </c>
      <c r="G5" s="8"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10"/>
      <c r="B6" s="11" t="s">
        <v>43</v>
      </c>
      <c r="C6" s="12" t="s">
        <v>44</v>
      </c>
      <c r="D6" s="13" t="s">
        <v>45</v>
      </c>
      <c r="E6" s="13" t="s">
        <v>33</v>
      </c>
      <c r="F6" s="13" t="s">
        <v>34</v>
      </c>
      <c r="G6" s="13">
        <v>21.0</v>
      </c>
      <c r="H6" s="14">
        <v>4.0</v>
      </c>
      <c r="I6" s="14">
        <f t="shared" ref="I6:I9" si="1">G6-H6</f>
        <v>17</v>
      </c>
      <c r="J6" s="15"/>
      <c r="K6" s="14">
        <v>4.0</v>
      </c>
      <c r="L6" s="14">
        <f t="shared" ref="L6:L9" si="2">I6-K6</f>
        <v>13</v>
      </c>
      <c r="M6" s="15"/>
      <c r="N6" s="14">
        <v>4.0</v>
      </c>
      <c r="O6" s="14">
        <f t="shared" ref="O6:O9" si="3">L6-N6</f>
        <v>9</v>
      </c>
      <c r="P6" s="15"/>
      <c r="Q6" s="14">
        <v>5.0</v>
      </c>
      <c r="R6" s="14">
        <f t="shared" ref="R6:R9" si="4">O6-Q6</f>
        <v>4</v>
      </c>
      <c r="S6" s="15"/>
      <c r="T6" s="14">
        <v>4.0</v>
      </c>
      <c r="U6" s="14">
        <f t="shared" ref="U6:U9" si="5">R6-T6</f>
        <v>0</v>
      </c>
      <c r="V6" s="15"/>
      <c r="W6" s="14">
        <v>0.0</v>
      </c>
      <c r="X6" s="14">
        <f t="shared" ref="X6:X9" si="6">U6-W6</f>
        <v>0</v>
      </c>
      <c r="Y6" s="15"/>
      <c r="Z6" s="14">
        <v>0.0</v>
      </c>
      <c r="AA6" s="14">
        <f t="shared" ref="AA6:AA10" si="7">X6-Z6</f>
        <v>0</v>
      </c>
      <c r="AB6" s="15"/>
      <c r="AC6" s="14"/>
      <c r="AD6" s="14">
        <f t="shared" ref="AD6:AD9" si="8">AA6-AC6</f>
        <v>0</v>
      </c>
      <c r="AE6" s="15"/>
      <c r="AF6" s="14"/>
      <c r="AG6" s="14">
        <f t="shared" ref="AG6:AG9" si="9">AD6-AF6</f>
        <v>0</v>
      </c>
      <c r="AH6" s="15"/>
      <c r="AI6" s="14"/>
      <c r="AJ6" s="14">
        <f t="shared" ref="AJ6:AJ9" si="10">AG6-AI6</f>
        <v>0</v>
      </c>
      <c r="AK6" s="15"/>
      <c r="AL6" s="14"/>
      <c r="AM6" s="14">
        <f t="shared" ref="AM6:AM9" si="11">AJ6-AL6</f>
        <v>0</v>
      </c>
      <c r="AN6" s="15"/>
      <c r="AO6" s="14"/>
      <c r="AP6" s="14">
        <f t="shared" ref="AP6:AP9" si="12">AM6-AO6</f>
        <v>0</v>
      </c>
      <c r="AQ6" s="15"/>
      <c r="AR6" s="14"/>
      <c r="AS6" s="14">
        <f t="shared" ref="AS6:AS9" si="13">AP6-AR6</f>
        <v>0</v>
      </c>
      <c r="AT6" s="15"/>
      <c r="AU6" s="14"/>
      <c r="AV6" s="14">
        <f t="shared" ref="AV6:AV9" si="14">AS6-AU6</f>
        <v>0</v>
      </c>
      <c r="AW6" s="15"/>
      <c r="AX6" s="14"/>
      <c r="AY6" s="14">
        <f t="shared" ref="AY6:AY9" si="15">AV6-AX6</f>
        <v>0</v>
      </c>
      <c r="AZ6" s="15"/>
      <c r="BA6" s="14"/>
      <c r="BB6" s="14">
        <f t="shared" ref="BB6:BB9" si="16">AY6-BA6</f>
        <v>0</v>
      </c>
      <c r="BC6" s="15"/>
      <c r="BD6" s="14"/>
      <c r="BE6" s="14">
        <f t="shared" ref="BE6:BE9" si="17">BB6-BD6</f>
        <v>0</v>
      </c>
      <c r="BF6" s="15"/>
      <c r="BG6" s="14"/>
      <c r="BH6" s="14">
        <f t="shared" ref="BH6:BH9" si="18">BE6-BG6</f>
        <v>0</v>
      </c>
      <c r="BI6" s="15"/>
      <c r="BJ6" s="14"/>
      <c r="BK6" s="14">
        <f t="shared" ref="BK6:BK9" si="19">BH6-BJ6</f>
        <v>0</v>
      </c>
      <c r="BL6" s="15"/>
      <c r="BM6" s="14"/>
      <c r="BN6" s="14">
        <f t="shared" ref="BN6:BN9" si="20">BK6-BM6</f>
        <v>0</v>
      </c>
      <c r="BO6" s="15"/>
      <c r="BP6" s="16">
        <f>H6+K6+N6+Q6+T6+W6+Z6+AC6+AF6+AI6+AL6+AO6+AR6+AU6+AX6+BA6+BD6+BG6+BJ6+BM6</f>
        <v>21</v>
      </c>
      <c r="BQ6" s="16">
        <f t="shared" ref="BQ6:BQ9" si="21">G6-BP6</f>
        <v>0</v>
      </c>
    </row>
    <row r="7" ht="30.0" customHeight="1">
      <c r="A7" s="17"/>
      <c r="B7" s="18"/>
      <c r="C7" s="18"/>
      <c r="D7" s="13" t="s">
        <v>46</v>
      </c>
      <c r="E7" s="13" t="s">
        <v>33</v>
      </c>
      <c r="F7" s="13" t="s">
        <v>34</v>
      </c>
      <c r="G7" s="13">
        <v>27.0</v>
      </c>
      <c r="H7" s="14">
        <v>0.0</v>
      </c>
      <c r="I7" s="14">
        <f t="shared" si="1"/>
        <v>27</v>
      </c>
      <c r="J7" s="15"/>
      <c r="K7" s="14">
        <v>0.0</v>
      </c>
      <c r="L7" s="14">
        <f t="shared" si="2"/>
        <v>27</v>
      </c>
      <c r="M7" s="15"/>
      <c r="N7" s="14">
        <v>0.0</v>
      </c>
      <c r="O7" s="14">
        <f t="shared" si="3"/>
        <v>27</v>
      </c>
      <c r="P7" s="15"/>
      <c r="Q7" s="14">
        <v>0.0</v>
      </c>
      <c r="R7" s="14">
        <f t="shared" si="4"/>
        <v>27</v>
      </c>
      <c r="S7" s="15"/>
      <c r="T7" s="14">
        <v>0.0</v>
      </c>
      <c r="U7" s="14">
        <f t="shared" si="5"/>
        <v>27</v>
      </c>
      <c r="V7" s="15"/>
      <c r="W7" s="14">
        <v>6.0</v>
      </c>
      <c r="X7" s="14">
        <f t="shared" si="6"/>
        <v>21</v>
      </c>
      <c r="Y7" s="15"/>
      <c r="Z7" s="14">
        <v>5.0</v>
      </c>
      <c r="AA7" s="14">
        <f t="shared" si="7"/>
        <v>16</v>
      </c>
      <c r="AB7" s="15"/>
      <c r="AC7" s="14">
        <v>6.0</v>
      </c>
      <c r="AD7" s="14">
        <f t="shared" si="8"/>
        <v>10</v>
      </c>
      <c r="AE7" s="15"/>
      <c r="AF7" s="14">
        <v>5.0</v>
      </c>
      <c r="AG7" s="14">
        <f t="shared" si="9"/>
        <v>5</v>
      </c>
      <c r="AH7" s="15"/>
      <c r="AI7" s="14">
        <v>5.0</v>
      </c>
      <c r="AJ7" s="14">
        <f t="shared" si="10"/>
        <v>0</v>
      </c>
      <c r="AK7" s="15"/>
      <c r="AL7" s="14"/>
      <c r="AM7" s="14">
        <f t="shared" si="11"/>
        <v>0</v>
      </c>
      <c r="AN7" s="15"/>
      <c r="AO7" s="14"/>
      <c r="AP7" s="14">
        <f t="shared" si="12"/>
        <v>0</v>
      </c>
      <c r="AQ7" s="15"/>
      <c r="AR7" s="14"/>
      <c r="AS7" s="14">
        <f t="shared" si="13"/>
        <v>0</v>
      </c>
      <c r="AT7" s="15"/>
      <c r="AU7" s="14"/>
      <c r="AV7" s="14">
        <f t="shared" si="14"/>
        <v>0</v>
      </c>
      <c r="AW7" s="15"/>
      <c r="AX7" s="14"/>
      <c r="AY7" s="14">
        <f t="shared" si="15"/>
        <v>0</v>
      </c>
      <c r="AZ7" s="15"/>
      <c r="BA7" s="14"/>
      <c r="BB7" s="14">
        <f t="shared" si="16"/>
        <v>0</v>
      </c>
      <c r="BC7" s="15"/>
      <c r="BD7" s="14"/>
      <c r="BE7" s="14">
        <f t="shared" si="17"/>
        <v>0</v>
      </c>
      <c r="BF7" s="15"/>
      <c r="BG7" s="14"/>
      <c r="BH7" s="14">
        <f t="shared" si="18"/>
        <v>0</v>
      </c>
      <c r="BI7" s="15"/>
      <c r="BJ7" s="14"/>
      <c r="BK7" s="14">
        <f t="shared" si="19"/>
        <v>0</v>
      </c>
      <c r="BL7" s="15"/>
      <c r="BM7" s="14"/>
      <c r="BN7" s="14">
        <f t="shared" si="20"/>
        <v>0</v>
      </c>
      <c r="BO7" s="15"/>
      <c r="BP7" s="16">
        <v>0.0</v>
      </c>
      <c r="BQ7" s="16">
        <f t="shared" si="21"/>
        <v>27</v>
      </c>
    </row>
    <row r="8">
      <c r="A8" s="19"/>
      <c r="B8" s="11" t="s">
        <v>47</v>
      </c>
      <c r="C8" s="12" t="s">
        <v>48</v>
      </c>
      <c r="D8" s="13" t="s">
        <v>49</v>
      </c>
      <c r="E8" s="13" t="s">
        <v>33</v>
      </c>
      <c r="F8" s="13" t="s">
        <v>34</v>
      </c>
      <c r="G8" s="13">
        <v>30.0</v>
      </c>
      <c r="H8" s="14">
        <v>0.0</v>
      </c>
      <c r="I8" s="14">
        <f t="shared" si="1"/>
        <v>30</v>
      </c>
      <c r="J8" s="15"/>
      <c r="K8" s="14">
        <v>0.0</v>
      </c>
      <c r="L8" s="14">
        <f t="shared" si="2"/>
        <v>30</v>
      </c>
      <c r="M8" s="15"/>
      <c r="N8" s="14">
        <v>0.0</v>
      </c>
      <c r="O8" s="14">
        <f t="shared" si="3"/>
        <v>30</v>
      </c>
      <c r="P8" s="15"/>
      <c r="Q8" s="14">
        <v>0.0</v>
      </c>
      <c r="R8" s="14">
        <f t="shared" si="4"/>
        <v>30</v>
      </c>
      <c r="S8" s="15"/>
      <c r="T8" s="14">
        <v>0.0</v>
      </c>
      <c r="U8" s="14">
        <f t="shared" si="5"/>
        <v>30</v>
      </c>
      <c r="V8" s="15"/>
      <c r="W8" s="14">
        <v>0.0</v>
      </c>
      <c r="X8" s="14">
        <f t="shared" si="6"/>
        <v>30</v>
      </c>
      <c r="Y8" s="15"/>
      <c r="Z8" s="14">
        <v>0.0</v>
      </c>
      <c r="AA8" s="14">
        <f t="shared" si="7"/>
        <v>30</v>
      </c>
      <c r="AB8" s="15"/>
      <c r="AC8" s="14"/>
      <c r="AD8" s="14">
        <f t="shared" si="8"/>
        <v>30</v>
      </c>
      <c r="AE8" s="15"/>
      <c r="AF8" s="14"/>
      <c r="AG8" s="14">
        <f t="shared" si="9"/>
        <v>30</v>
      </c>
      <c r="AH8" s="15"/>
      <c r="AI8" s="14"/>
      <c r="AJ8" s="14">
        <f t="shared" si="10"/>
        <v>30</v>
      </c>
      <c r="AK8" s="15"/>
      <c r="AL8" s="14">
        <v>6.0</v>
      </c>
      <c r="AM8" s="14">
        <f t="shared" si="11"/>
        <v>24</v>
      </c>
      <c r="AN8" s="15"/>
      <c r="AO8" s="14">
        <v>6.0</v>
      </c>
      <c r="AP8" s="14">
        <f t="shared" si="12"/>
        <v>18</v>
      </c>
      <c r="AQ8" s="15"/>
      <c r="AR8" s="14">
        <v>6.0</v>
      </c>
      <c r="AS8" s="14">
        <f t="shared" si="13"/>
        <v>12</v>
      </c>
      <c r="AT8" s="15"/>
      <c r="AU8" s="14">
        <v>6.0</v>
      </c>
      <c r="AV8" s="14">
        <f t="shared" si="14"/>
        <v>6</v>
      </c>
      <c r="AW8" s="15"/>
      <c r="AX8" s="14">
        <v>6.0</v>
      </c>
      <c r="AY8" s="14">
        <f t="shared" si="15"/>
        <v>0</v>
      </c>
      <c r="AZ8" s="15"/>
      <c r="BA8" s="14"/>
      <c r="BB8" s="14">
        <f t="shared" si="16"/>
        <v>0</v>
      </c>
      <c r="BC8" s="15"/>
      <c r="BD8" s="14"/>
      <c r="BE8" s="14">
        <f t="shared" si="17"/>
        <v>0</v>
      </c>
      <c r="BF8" s="15"/>
      <c r="BG8" s="14"/>
      <c r="BH8" s="14">
        <f t="shared" si="18"/>
        <v>0</v>
      </c>
      <c r="BI8" s="15"/>
      <c r="BJ8" s="14"/>
      <c r="BK8" s="14">
        <f t="shared" si="19"/>
        <v>0</v>
      </c>
      <c r="BL8" s="15"/>
      <c r="BM8" s="14"/>
      <c r="BN8" s="14">
        <f t="shared" si="20"/>
        <v>0</v>
      </c>
      <c r="BO8" s="15"/>
      <c r="BP8" s="16">
        <f t="shared" ref="BP8:BP9" si="22">H8+K8+N8+Q8+T8+W8+Z8+AC8+AF8+AI8+AL8+AO8+AR8+AU8+AX8+BA8+BD8+BG8+BJ8+BM8</f>
        <v>30</v>
      </c>
      <c r="BQ8" s="16">
        <f t="shared" si="21"/>
        <v>0</v>
      </c>
    </row>
    <row r="9">
      <c r="A9" s="19"/>
      <c r="B9" s="18"/>
      <c r="C9" s="18"/>
      <c r="D9" s="13" t="s">
        <v>50</v>
      </c>
      <c r="E9" s="13" t="s">
        <v>33</v>
      </c>
      <c r="F9" s="13" t="s">
        <v>34</v>
      </c>
      <c r="G9" s="13">
        <v>21.0</v>
      </c>
      <c r="H9" s="14">
        <v>0.0</v>
      </c>
      <c r="I9" s="14">
        <f t="shared" si="1"/>
        <v>21</v>
      </c>
      <c r="J9" s="15"/>
      <c r="K9" s="14">
        <v>0.0</v>
      </c>
      <c r="L9" s="14">
        <f t="shared" si="2"/>
        <v>21</v>
      </c>
      <c r="M9" s="15"/>
      <c r="N9" s="14">
        <v>0.0</v>
      </c>
      <c r="O9" s="14">
        <f t="shared" si="3"/>
        <v>21</v>
      </c>
      <c r="P9" s="15"/>
      <c r="Q9" s="14">
        <v>0.0</v>
      </c>
      <c r="R9" s="14">
        <f t="shared" si="4"/>
        <v>21</v>
      </c>
      <c r="S9" s="15"/>
      <c r="T9" s="14">
        <v>0.0</v>
      </c>
      <c r="U9" s="14">
        <f t="shared" si="5"/>
        <v>21</v>
      </c>
      <c r="V9" s="15"/>
      <c r="W9" s="14">
        <v>0.0</v>
      </c>
      <c r="X9" s="14">
        <f t="shared" si="6"/>
        <v>21</v>
      </c>
      <c r="Y9" s="15"/>
      <c r="Z9" s="14">
        <v>0.0</v>
      </c>
      <c r="AA9" s="14">
        <f t="shared" si="7"/>
        <v>21</v>
      </c>
      <c r="AB9" s="15"/>
      <c r="AC9" s="14"/>
      <c r="AD9" s="14">
        <f t="shared" si="8"/>
        <v>21</v>
      </c>
      <c r="AE9" s="15"/>
      <c r="AF9" s="14"/>
      <c r="AG9" s="14">
        <f t="shared" si="9"/>
        <v>21</v>
      </c>
      <c r="AH9" s="15"/>
      <c r="AI9" s="14"/>
      <c r="AJ9" s="14">
        <f t="shared" si="10"/>
        <v>21</v>
      </c>
      <c r="AK9" s="15"/>
      <c r="AL9" s="14"/>
      <c r="AM9" s="14">
        <f t="shared" si="11"/>
        <v>21</v>
      </c>
      <c r="AN9" s="15"/>
      <c r="AO9" s="14"/>
      <c r="AP9" s="14">
        <f t="shared" si="12"/>
        <v>21</v>
      </c>
      <c r="AQ9" s="15"/>
      <c r="AR9" s="14"/>
      <c r="AS9" s="14">
        <f t="shared" si="13"/>
        <v>21</v>
      </c>
      <c r="AT9" s="15"/>
      <c r="AU9" s="14"/>
      <c r="AV9" s="14">
        <f t="shared" si="14"/>
        <v>21</v>
      </c>
      <c r="AW9" s="15"/>
      <c r="AX9" s="14"/>
      <c r="AY9" s="14">
        <f t="shared" si="15"/>
        <v>21</v>
      </c>
      <c r="AZ9" s="15"/>
      <c r="BA9" s="14">
        <v>5.0</v>
      </c>
      <c r="BB9" s="14">
        <f t="shared" si="16"/>
        <v>16</v>
      </c>
      <c r="BC9" s="15"/>
      <c r="BD9" s="14">
        <v>4.0</v>
      </c>
      <c r="BE9" s="14">
        <f t="shared" si="17"/>
        <v>12</v>
      </c>
      <c r="BF9" s="15"/>
      <c r="BG9" s="14">
        <v>4.0</v>
      </c>
      <c r="BH9" s="14">
        <f t="shared" si="18"/>
        <v>8</v>
      </c>
      <c r="BI9" s="15"/>
      <c r="BJ9" s="14">
        <v>4.0</v>
      </c>
      <c r="BK9" s="14">
        <f t="shared" si="19"/>
        <v>4</v>
      </c>
      <c r="BL9" s="15"/>
      <c r="BM9" s="14">
        <v>4.0</v>
      </c>
      <c r="BN9" s="14">
        <f t="shared" si="20"/>
        <v>0</v>
      </c>
      <c r="BO9" s="15"/>
      <c r="BP9" s="16">
        <f t="shared" si="22"/>
        <v>21</v>
      </c>
      <c r="BQ9" s="16">
        <f t="shared" si="21"/>
        <v>0</v>
      </c>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14">
        <f t="shared" si="7"/>
        <v>0</v>
      </c>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row>
    <row r="12">
      <c r="A12" s="1"/>
      <c r="B12" s="1"/>
      <c r="C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sheetData>
  <mergeCells count="25">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B6:B7"/>
    <mergeCell ref="C6:C7"/>
    <mergeCell ref="B8:B9"/>
    <mergeCell ref="C8:C9"/>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4" manualBreakCount="4">
    <brk id="52" man="1"/>
    <brk id="36" man="1"/>
    <brk id="69" man="1"/>
    <brk id="21" man="1"/>
  </col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45.57"/>
    <col customWidth="1" min="4" max="4" width="41.29"/>
    <col customWidth="1" min="5" max="5" width="21.29"/>
    <col customWidth="1" min="6" max="6" width="11.0"/>
    <col customWidth="1" min="7" max="7" width="15.43"/>
    <col customWidth="1" min="8" max="8" width="9.71"/>
    <col customWidth="1" min="9" max="9" width="20.14"/>
    <col customWidth="1" min="10" max="10" width="2.71"/>
    <col customWidth="1" min="11" max="11" width="9.71"/>
    <col customWidth="1" min="12" max="12" width="15.57"/>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4"/>
      <c r="B4" s="4"/>
      <c r="C4" s="4"/>
      <c r="D4" s="4"/>
      <c r="E4" s="4"/>
      <c r="F4" s="4"/>
      <c r="G4" s="4"/>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c r="AZ4" s="7"/>
      <c r="BA4" s="5" t="s">
        <v>18</v>
      </c>
      <c r="BB4" s="6"/>
      <c r="BC4" s="7"/>
      <c r="BD4" s="5" t="s">
        <v>19</v>
      </c>
      <c r="BE4" s="6"/>
      <c r="BF4" s="7"/>
      <c r="BG4" s="5" t="s">
        <v>20</v>
      </c>
      <c r="BH4" s="6"/>
      <c r="BI4" s="7"/>
      <c r="BJ4" s="5" t="s">
        <v>21</v>
      </c>
      <c r="BK4" s="6"/>
      <c r="BL4" s="7"/>
      <c r="BM4" s="5" t="s">
        <v>22</v>
      </c>
      <c r="BN4" s="6"/>
      <c r="BO4" s="7"/>
      <c r="BP4" s="5" t="s">
        <v>23</v>
      </c>
      <c r="BQ4" s="6"/>
    </row>
    <row r="5">
      <c r="A5" s="4"/>
      <c r="B5" s="8" t="s">
        <v>24</v>
      </c>
      <c r="C5" s="8" t="s">
        <v>25</v>
      </c>
      <c r="D5" s="8" t="s">
        <v>26</v>
      </c>
      <c r="E5" s="8" t="s">
        <v>27</v>
      </c>
      <c r="F5" s="8" t="s">
        <v>28</v>
      </c>
      <c r="G5" s="8"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10"/>
      <c r="B6" s="21" t="s">
        <v>51</v>
      </c>
      <c r="C6" s="12" t="s">
        <v>52</v>
      </c>
      <c r="D6" s="22" t="s">
        <v>53</v>
      </c>
      <c r="E6" s="12" t="s">
        <v>33</v>
      </c>
      <c r="F6" s="12" t="s">
        <v>34</v>
      </c>
      <c r="G6" s="12">
        <v>33.0</v>
      </c>
      <c r="H6" s="23">
        <v>5.0</v>
      </c>
      <c r="I6" s="23">
        <f t="shared" ref="I6:I9" si="1">G6-H6</f>
        <v>28</v>
      </c>
      <c r="J6" s="24"/>
      <c r="K6" s="23">
        <v>5.0</v>
      </c>
      <c r="L6" s="23">
        <f t="shared" ref="L6:L9" si="2">I6-K6</f>
        <v>23</v>
      </c>
      <c r="M6" s="24"/>
      <c r="N6" s="23">
        <v>5.0</v>
      </c>
      <c r="O6" s="23">
        <f t="shared" ref="O6:O9" si="3">L6-N6</f>
        <v>18</v>
      </c>
      <c r="P6" s="24"/>
      <c r="Q6" s="23">
        <v>5.0</v>
      </c>
      <c r="R6" s="23">
        <f t="shared" ref="R6:R9" si="4">O6-Q6</f>
        <v>13</v>
      </c>
      <c r="S6" s="24"/>
      <c r="T6" s="23">
        <v>7.0</v>
      </c>
      <c r="U6" s="23">
        <f t="shared" ref="U6:U9" si="5">R6-T6</f>
        <v>6</v>
      </c>
      <c r="V6" s="24"/>
      <c r="W6" s="23">
        <v>6.0</v>
      </c>
      <c r="X6" s="23">
        <f t="shared" ref="X6:X9" si="6">U6-W6</f>
        <v>0</v>
      </c>
      <c r="Y6" s="24"/>
      <c r="Z6" s="23"/>
      <c r="AA6" s="23">
        <f t="shared" ref="AA6:AA9" si="7">X6-Z6</f>
        <v>0</v>
      </c>
      <c r="AB6" s="24"/>
      <c r="AC6" s="23"/>
      <c r="AD6" s="23">
        <f t="shared" ref="AD6:AD9" si="8">AA6-AC6</f>
        <v>0</v>
      </c>
      <c r="AE6" s="24"/>
      <c r="AF6" s="23"/>
      <c r="AG6" s="23">
        <f t="shared" ref="AG6:AG9" si="9">AD6-AF6</f>
        <v>0</v>
      </c>
      <c r="AH6" s="24"/>
      <c r="AI6" s="23"/>
      <c r="AJ6" s="23">
        <f t="shared" ref="AJ6:AJ9" si="10">AG6-AI6</f>
        <v>0</v>
      </c>
      <c r="AK6" s="24"/>
      <c r="AL6" s="23"/>
      <c r="AM6" s="23">
        <f t="shared" ref="AM6:AM9" si="11">AJ6-AL6</f>
        <v>0</v>
      </c>
      <c r="AN6" s="24"/>
      <c r="AO6" s="23"/>
      <c r="AP6" s="23">
        <f t="shared" ref="AP6:AP9" si="12">AM6-AO6</f>
        <v>0</v>
      </c>
      <c r="AQ6" s="24"/>
      <c r="AR6" s="23"/>
      <c r="AS6" s="23">
        <f t="shared" ref="AS6:AS9" si="13">AP6-AR6</f>
        <v>0</v>
      </c>
      <c r="AT6" s="24"/>
      <c r="AU6" s="23"/>
      <c r="AV6" s="23">
        <f t="shared" ref="AV6:AV9" si="14">AS6-AU6</f>
        <v>0</v>
      </c>
      <c r="AW6" s="24"/>
      <c r="AX6" s="23"/>
      <c r="AY6" s="23">
        <f t="shared" ref="AY6:AY9" si="15">AV6-AX6</f>
        <v>0</v>
      </c>
      <c r="AZ6" s="24"/>
      <c r="BA6" s="23"/>
      <c r="BB6" s="23">
        <f t="shared" ref="BB6:BB9" si="16">AY6-BA6</f>
        <v>0</v>
      </c>
      <c r="BC6" s="24"/>
      <c r="BD6" s="23"/>
      <c r="BE6" s="23">
        <f t="shared" ref="BE6:BE9" si="17">BB6-BD6</f>
        <v>0</v>
      </c>
      <c r="BF6" s="24"/>
      <c r="BG6" s="23"/>
      <c r="BH6" s="23">
        <f t="shared" ref="BH6:BH9" si="18">BE6-BG6</f>
        <v>0</v>
      </c>
      <c r="BI6" s="24"/>
      <c r="BJ6" s="23"/>
      <c r="BK6" s="23">
        <f t="shared" ref="BK6:BK9" si="19">BH6-BJ6</f>
        <v>0</v>
      </c>
      <c r="BL6" s="24"/>
      <c r="BM6" s="23"/>
      <c r="BN6" s="23">
        <f t="shared" ref="BN6:BN9" si="20">BK6-BM6</f>
        <v>0</v>
      </c>
      <c r="BO6" s="24"/>
      <c r="BP6" s="25">
        <f t="shared" ref="BP6:BP9" si="21">H6+K6+N6+Q6+T6+W6+Z6+AC6+AF6+AI6+AL6+AO6+AR6+AU6+AX6+BA6+BD6+BG6+BJ6+BM6</f>
        <v>33</v>
      </c>
      <c r="BQ6" s="25">
        <f t="shared" ref="BQ6:BQ9" si="22">G6-BP6</f>
        <v>0</v>
      </c>
    </row>
    <row r="7">
      <c r="A7" s="26"/>
      <c r="B7" s="11" t="s">
        <v>54</v>
      </c>
      <c r="C7" s="12" t="s">
        <v>55</v>
      </c>
      <c r="D7" s="13" t="s">
        <v>56</v>
      </c>
      <c r="E7" s="13" t="s">
        <v>33</v>
      </c>
      <c r="F7" s="13" t="s">
        <v>34</v>
      </c>
      <c r="G7" s="13">
        <v>32.0</v>
      </c>
      <c r="H7" s="14">
        <v>0.0</v>
      </c>
      <c r="I7" s="14">
        <f t="shared" si="1"/>
        <v>32</v>
      </c>
      <c r="J7" s="15"/>
      <c r="K7" s="14">
        <v>0.0</v>
      </c>
      <c r="L7" s="14">
        <f t="shared" si="2"/>
        <v>32</v>
      </c>
      <c r="M7" s="15"/>
      <c r="N7" s="14"/>
      <c r="O7" s="14">
        <f t="shared" si="3"/>
        <v>32</v>
      </c>
      <c r="P7" s="15"/>
      <c r="Q7" s="14"/>
      <c r="R7" s="14">
        <f t="shared" si="4"/>
        <v>32</v>
      </c>
      <c r="S7" s="15"/>
      <c r="T7" s="14"/>
      <c r="U7" s="14">
        <f t="shared" si="5"/>
        <v>32</v>
      </c>
      <c r="V7" s="15"/>
      <c r="W7" s="14">
        <v>1.0</v>
      </c>
      <c r="X7" s="14">
        <f t="shared" si="6"/>
        <v>31</v>
      </c>
      <c r="Y7" s="15"/>
      <c r="Z7" s="14">
        <v>5.0</v>
      </c>
      <c r="AA7" s="14">
        <f t="shared" si="7"/>
        <v>26</v>
      </c>
      <c r="AB7" s="15"/>
      <c r="AC7" s="14">
        <v>5.0</v>
      </c>
      <c r="AD7" s="14">
        <f t="shared" si="8"/>
        <v>21</v>
      </c>
      <c r="AE7" s="15"/>
      <c r="AF7" s="14">
        <v>5.0</v>
      </c>
      <c r="AG7" s="14">
        <f t="shared" si="9"/>
        <v>16</v>
      </c>
      <c r="AH7" s="15"/>
      <c r="AI7" s="14">
        <v>4.0</v>
      </c>
      <c r="AJ7" s="14">
        <f t="shared" si="10"/>
        <v>12</v>
      </c>
      <c r="AK7" s="15"/>
      <c r="AL7" s="14">
        <v>4.0</v>
      </c>
      <c r="AM7" s="14">
        <f t="shared" si="11"/>
        <v>8</v>
      </c>
      <c r="AN7" s="15"/>
      <c r="AO7" s="14">
        <v>4.0</v>
      </c>
      <c r="AP7" s="14">
        <f t="shared" si="12"/>
        <v>4</v>
      </c>
      <c r="AQ7" s="15"/>
      <c r="AR7" s="14">
        <v>4.0</v>
      </c>
      <c r="AS7" s="14">
        <f t="shared" si="13"/>
        <v>0</v>
      </c>
      <c r="AT7" s="15"/>
      <c r="AU7" s="14">
        <v>0.0</v>
      </c>
      <c r="AV7" s="14">
        <f t="shared" si="14"/>
        <v>0</v>
      </c>
      <c r="AW7" s="15"/>
      <c r="AX7" s="14"/>
      <c r="AY7" s="14">
        <f t="shared" si="15"/>
        <v>0</v>
      </c>
      <c r="AZ7" s="15"/>
      <c r="BA7" s="14"/>
      <c r="BB7" s="14">
        <f t="shared" si="16"/>
        <v>0</v>
      </c>
      <c r="BC7" s="15"/>
      <c r="BD7" s="14"/>
      <c r="BE7" s="14">
        <f t="shared" si="17"/>
        <v>0</v>
      </c>
      <c r="BF7" s="15"/>
      <c r="BG7" s="14"/>
      <c r="BH7" s="14">
        <f t="shared" si="18"/>
        <v>0</v>
      </c>
      <c r="BI7" s="15"/>
      <c r="BJ7" s="14"/>
      <c r="BK7" s="14">
        <f t="shared" si="19"/>
        <v>0</v>
      </c>
      <c r="BL7" s="15"/>
      <c r="BM7" s="14"/>
      <c r="BN7" s="14">
        <f t="shared" si="20"/>
        <v>0</v>
      </c>
      <c r="BO7" s="15"/>
      <c r="BP7" s="16">
        <f t="shared" si="21"/>
        <v>32</v>
      </c>
      <c r="BQ7" s="16">
        <f t="shared" si="22"/>
        <v>0</v>
      </c>
    </row>
    <row r="8">
      <c r="A8" s="27"/>
      <c r="B8" s="28"/>
      <c r="C8" s="28"/>
      <c r="D8" s="22" t="s">
        <v>57</v>
      </c>
      <c r="E8" s="12" t="s">
        <v>33</v>
      </c>
      <c r="F8" s="13" t="s">
        <v>34</v>
      </c>
      <c r="G8" s="29">
        <v>32.0</v>
      </c>
      <c r="H8" s="30"/>
      <c r="I8" s="30">
        <f t="shared" si="1"/>
        <v>32</v>
      </c>
      <c r="J8" s="31"/>
      <c r="K8" s="30"/>
      <c r="L8" s="30">
        <f t="shared" si="2"/>
        <v>32</v>
      </c>
      <c r="M8" s="31"/>
      <c r="N8" s="30"/>
      <c r="O8" s="30">
        <f t="shared" si="3"/>
        <v>32</v>
      </c>
      <c r="P8" s="31"/>
      <c r="Q8" s="30"/>
      <c r="R8" s="30">
        <f t="shared" si="4"/>
        <v>32</v>
      </c>
      <c r="S8" s="31"/>
      <c r="T8" s="30"/>
      <c r="U8" s="30">
        <f t="shared" si="5"/>
        <v>32</v>
      </c>
      <c r="V8" s="31"/>
      <c r="W8" s="30"/>
      <c r="X8" s="30">
        <f t="shared" si="6"/>
        <v>32</v>
      </c>
      <c r="Y8" s="31"/>
      <c r="Z8" s="30"/>
      <c r="AA8" s="30">
        <f t="shared" si="7"/>
        <v>32</v>
      </c>
      <c r="AB8" s="31"/>
      <c r="AC8" s="30"/>
      <c r="AD8" s="30">
        <f t="shared" si="8"/>
        <v>32</v>
      </c>
      <c r="AE8" s="31"/>
      <c r="AF8" s="30"/>
      <c r="AG8" s="30">
        <f t="shared" si="9"/>
        <v>32</v>
      </c>
      <c r="AH8" s="31"/>
      <c r="AI8" s="30">
        <v>3.0</v>
      </c>
      <c r="AJ8" s="30">
        <f t="shared" si="10"/>
        <v>29</v>
      </c>
      <c r="AK8" s="31"/>
      <c r="AL8" s="30">
        <v>3.0</v>
      </c>
      <c r="AM8" s="30">
        <f t="shared" si="11"/>
        <v>26</v>
      </c>
      <c r="AN8" s="31"/>
      <c r="AO8" s="30">
        <v>3.0</v>
      </c>
      <c r="AP8" s="30">
        <f t="shared" si="12"/>
        <v>23</v>
      </c>
      <c r="AQ8" s="31"/>
      <c r="AR8" s="30">
        <v>3.0</v>
      </c>
      <c r="AS8" s="30">
        <f t="shared" si="13"/>
        <v>20</v>
      </c>
      <c r="AT8" s="31"/>
      <c r="AU8" s="30">
        <v>3.0</v>
      </c>
      <c r="AV8" s="30">
        <f t="shared" si="14"/>
        <v>17</v>
      </c>
      <c r="AW8" s="31"/>
      <c r="AX8" s="30">
        <v>5.0</v>
      </c>
      <c r="AY8" s="30">
        <f t="shared" si="15"/>
        <v>12</v>
      </c>
      <c r="AZ8" s="31"/>
      <c r="BA8" s="30">
        <v>5.0</v>
      </c>
      <c r="BB8" s="30">
        <f t="shared" si="16"/>
        <v>7</v>
      </c>
      <c r="BC8" s="31"/>
      <c r="BD8" s="30">
        <v>5.0</v>
      </c>
      <c r="BE8" s="30">
        <f t="shared" si="17"/>
        <v>2</v>
      </c>
      <c r="BF8" s="31"/>
      <c r="BG8" s="30">
        <v>2.0</v>
      </c>
      <c r="BH8" s="30">
        <f t="shared" si="18"/>
        <v>0</v>
      </c>
      <c r="BI8" s="31"/>
      <c r="BJ8" s="30"/>
      <c r="BK8" s="30">
        <f t="shared" si="19"/>
        <v>0</v>
      </c>
      <c r="BL8" s="31"/>
      <c r="BM8" s="30"/>
      <c r="BN8" s="30">
        <f t="shared" si="20"/>
        <v>0</v>
      </c>
      <c r="BO8" s="31"/>
      <c r="BP8" s="32">
        <f t="shared" si="21"/>
        <v>32</v>
      </c>
      <c r="BQ8" s="32">
        <f t="shared" si="22"/>
        <v>0</v>
      </c>
    </row>
    <row r="9" ht="15.0" customHeight="1">
      <c r="A9" s="1"/>
      <c r="B9" s="18"/>
      <c r="C9" s="18"/>
      <c r="D9" s="33" t="s">
        <v>58</v>
      </c>
      <c r="E9" s="13" t="s">
        <v>33</v>
      </c>
      <c r="F9" s="13" t="s">
        <v>34</v>
      </c>
      <c r="G9" s="29">
        <v>20.0</v>
      </c>
      <c r="H9" s="14"/>
      <c r="I9" s="14">
        <f t="shared" si="1"/>
        <v>20</v>
      </c>
      <c r="J9" s="15"/>
      <c r="K9" s="14"/>
      <c r="L9" s="14">
        <f t="shared" si="2"/>
        <v>20</v>
      </c>
      <c r="M9" s="15"/>
      <c r="N9" s="14"/>
      <c r="O9" s="14">
        <f t="shared" si="3"/>
        <v>20</v>
      </c>
      <c r="P9" s="15"/>
      <c r="Q9" s="14"/>
      <c r="R9" s="14">
        <f t="shared" si="4"/>
        <v>20</v>
      </c>
      <c r="S9" s="15"/>
      <c r="T9" s="14"/>
      <c r="U9" s="14">
        <f t="shared" si="5"/>
        <v>20</v>
      </c>
      <c r="V9" s="15"/>
      <c r="W9" s="14"/>
      <c r="X9" s="14">
        <f t="shared" si="6"/>
        <v>20</v>
      </c>
      <c r="Y9" s="15"/>
      <c r="Z9" s="14"/>
      <c r="AA9" s="14">
        <f t="shared" si="7"/>
        <v>20</v>
      </c>
      <c r="AB9" s="15"/>
      <c r="AC9" s="14"/>
      <c r="AD9" s="14">
        <f t="shared" si="8"/>
        <v>20</v>
      </c>
      <c r="AE9" s="15"/>
      <c r="AF9" s="14"/>
      <c r="AG9" s="14">
        <f t="shared" si="9"/>
        <v>20</v>
      </c>
      <c r="AH9" s="15"/>
      <c r="AI9" s="14"/>
      <c r="AJ9" s="14">
        <f t="shared" si="10"/>
        <v>20</v>
      </c>
      <c r="AK9" s="15"/>
      <c r="AL9" s="14"/>
      <c r="AM9" s="14">
        <f t="shared" si="11"/>
        <v>20</v>
      </c>
      <c r="AN9" s="15"/>
      <c r="AO9" s="14"/>
      <c r="AP9" s="14">
        <f t="shared" si="12"/>
        <v>20</v>
      </c>
      <c r="AQ9" s="15"/>
      <c r="AR9" s="14"/>
      <c r="AS9" s="14">
        <f t="shared" si="13"/>
        <v>20</v>
      </c>
      <c r="AT9" s="15"/>
      <c r="AU9" s="14"/>
      <c r="AV9" s="14">
        <f t="shared" si="14"/>
        <v>20</v>
      </c>
      <c r="AW9" s="15"/>
      <c r="AX9" s="14">
        <v>2.0</v>
      </c>
      <c r="AY9" s="14">
        <f t="shared" si="15"/>
        <v>18</v>
      </c>
      <c r="AZ9" s="15"/>
      <c r="BA9" s="14">
        <v>2.0</v>
      </c>
      <c r="BB9" s="14">
        <f t="shared" si="16"/>
        <v>16</v>
      </c>
      <c r="BC9" s="15"/>
      <c r="BD9" s="14">
        <v>2.0</v>
      </c>
      <c r="BE9" s="14">
        <f t="shared" si="17"/>
        <v>14</v>
      </c>
      <c r="BF9" s="15"/>
      <c r="BG9" s="14">
        <v>5.0</v>
      </c>
      <c r="BH9" s="14">
        <f t="shared" si="18"/>
        <v>9</v>
      </c>
      <c r="BI9" s="15"/>
      <c r="BJ9" s="14">
        <v>5.0</v>
      </c>
      <c r="BK9" s="14">
        <f t="shared" si="19"/>
        <v>4</v>
      </c>
      <c r="BL9" s="15"/>
      <c r="BM9" s="14">
        <v>4.0</v>
      </c>
      <c r="BN9" s="14">
        <f t="shared" si="20"/>
        <v>0</v>
      </c>
      <c r="BO9" s="15"/>
      <c r="BP9" s="16">
        <f t="shared" si="21"/>
        <v>20</v>
      </c>
      <c r="BQ9" s="16">
        <f t="shared" si="22"/>
        <v>0</v>
      </c>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row>
    <row r="11">
      <c r="A11" s="1"/>
      <c r="B11" s="1"/>
      <c r="C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sheetData>
  <mergeCells count="23">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B7:B9"/>
    <mergeCell ref="C7:C9"/>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4" manualBreakCount="4">
    <brk id="36" man="1"/>
    <brk id="52" man="1"/>
    <brk id="69" man="1"/>
    <brk id="21" man="1"/>
  </col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45.57"/>
    <col customWidth="1" min="4" max="4" width="41.29"/>
    <col customWidth="1" min="5" max="5" width="21.29"/>
    <col customWidth="1" min="6" max="6" width="11.0"/>
    <col customWidth="1" min="7" max="7" width="15.43"/>
    <col customWidth="1" min="8" max="8" width="9.71"/>
    <col customWidth="1" min="9" max="9" width="20.14"/>
    <col customWidth="1" min="10" max="10" width="2.71"/>
    <col customWidth="1" min="11" max="11" width="9.71"/>
    <col customWidth="1" min="12" max="12" width="15.57"/>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34"/>
      <c r="B4" s="34"/>
      <c r="C4" s="34"/>
      <c r="D4" s="34"/>
      <c r="E4" s="34"/>
      <c r="F4" s="34"/>
      <c r="G4" s="34"/>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c r="AZ4" s="7"/>
      <c r="BA4" s="5" t="s">
        <v>18</v>
      </c>
      <c r="BB4" s="6"/>
      <c r="BC4" s="7"/>
      <c r="BD4" s="5" t="s">
        <v>19</v>
      </c>
      <c r="BE4" s="6"/>
      <c r="BF4" s="7"/>
      <c r="BG4" s="5" t="s">
        <v>20</v>
      </c>
      <c r="BH4" s="6"/>
      <c r="BI4" s="7"/>
      <c r="BJ4" s="5" t="s">
        <v>21</v>
      </c>
      <c r="BK4" s="6"/>
      <c r="BL4" s="7"/>
      <c r="BM4" s="5" t="s">
        <v>22</v>
      </c>
      <c r="BN4" s="6"/>
      <c r="BO4" s="7"/>
      <c r="BP4" s="5" t="s">
        <v>23</v>
      </c>
      <c r="BQ4" s="6"/>
    </row>
    <row r="5">
      <c r="A5" s="35"/>
      <c r="B5" s="8" t="s">
        <v>24</v>
      </c>
      <c r="C5" s="8" t="s">
        <v>25</v>
      </c>
      <c r="D5" s="8" t="s">
        <v>26</v>
      </c>
      <c r="E5" s="8" t="s">
        <v>27</v>
      </c>
      <c r="F5" s="8" t="s">
        <v>28</v>
      </c>
      <c r="G5" s="8"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26"/>
      <c r="B6" s="11" t="s">
        <v>59</v>
      </c>
      <c r="C6" s="12" t="s">
        <v>60</v>
      </c>
      <c r="D6" s="36" t="s">
        <v>61</v>
      </c>
      <c r="E6" s="13" t="s">
        <v>33</v>
      </c>
      <c r="F6" s="36" t="s">
        <v>34</v>
      </c>
      <c r="G6" s="36">
        <v>43.0</v>
      </c>
      <c r="H6" s="37">
        <v>4.0</v>
      </c>
      <c r="I6" s="14">
        <f t="shared" ref="I6:I7" si="1">G6-H6</f>
        <v>39</v>
      </c>
      <c r="J6" s="15"/>
      <c r="K6" s="37">
        <v>4.0</v>
      </c>
      <c r="L6" s="14">
        <f t="shared" ref="L6:L7" si="2">I6-K6</f>
        <v>35</v>
      </c>
      <c r="M6" s="15"/>
      <c r="N6" s="37">
        <v>4.0</v>
      </c>
      <c r="O6" s="14">
        <f t="shared" ref="O6:O7" si="3">L6-N6</f>
        <v>31</v>
      </c>
      <c r="P6" s="15"/>
      <c r="Q6" s="37">
        <v>4.0</v>
      </c>
      <c r="R6" s="14">
        <f t="shared" ref="R6:R7" si="4">O6-Q6</f>
        <v>27</v>
      </c>
      <c r="S6" s="15"/>
      <c r="T6" s="37">
        <v>4.0</v>
      </c>
      <c r="U6" s="14">
        <f t="shared" ref="U6:U7" si="5">R6-T6</f>
        <v>23</v>
      </c>
      <c r="V6" s="15"/>
      <c r="W6" s="37">
        <v>4.0</v>
      </c>
      <c r="X6" s="14">
        <f t="shared" ref="X6:X7" si="6">U6-W6</f>
        <v>19</v>
      </c>
      <c r="Y6" s="15"/>
      <c r="Z6" s="37">
        <v>4.0</v>
      </c>
      <c r="AA6" s="14">
        <f t="shared" ref="AA6:AA7" si="7">X6-Z6</f>
        <v>15</v>
      </c>
      <c r="AB6" s="15"/>
      <c r="AC6" s="37">
        <v>4.0</v>
      </c>
      <c r="AD6" s="14">
        <f t="shared" ref="AD6:AD7" si="8">AA6-AC6</f>
        <v>11</v>
      </c>
      <c r="AE6" s="15"/>
      <c r="AF6" s="37">
        <v>4.0</v>
      </c>
      <c r="AG6" s="14">
        <f t="shared" ref="AG6:AG7" si="9">AD6-AF6</f>
        <v>7</v>
      </c>
      <c r="AH6" s="15"/>
      <c r="AI6" s="37">
        <v>4.0</v>
      </c>
      <c r="AJ6" s="14">
        <f t="shared" ref="AJ6:AJ7" si="10">AG6-AI6</f>
        <v>3</v>
      </c>
      <c r="AK6" s="15"/>
      <c r="AL6" s="37">
        <v>0.0</v>
      </c>
      <c r="AM6" s="14">
        <f t="shared" ref="AM6:AM7" si="11">AJ6-AL6</f>
        <v>3</v>
      </c>
      <c r="AN6" s="15"/>
      <c r="AO6" s="14"/>
      <c r="AP6" s="14">
        <f t="shared" ref="AP6:AP7" si="12">AM6-AO6</f>
        <v>3</v>
      </c>
      <c r="AQ6" s="15"/>
      <c r="AR6" s="14"/>
      <c r="AS6" s="14">
        <f t="shared" ref="AS6:AS7" si="13">AP6-AR6</f>
        <v>3</v>
      </c>
      <c r="AT6" s="15"/>
      <c r="AU6" s="14"/>
      <c r="AV6" s="14">
        <f t="shared" ref="AV6:AV7" si="14">AS6-AU6</f>
        <v>3</v>
      </c>
      <c r="AW6" s="15"/>
      <c r="AX6" s="14"/>
      <c r="AY6" s="14">
        <f t="shared" ref="AY6:AY7" si="15">AV6-AX6</f>
        <v>3</v>
      </c>
      <c r="AZ6" s="15"/>
      <c r="BA6" s="14"/>
      <c r="BB6" s="14">
        <f t="shared" ref="BB6:BB7" si="16">AY6-BA6</f>
        <v>3</v>
      </c>
      <c r="BC6" s="15"/>
      <c r="BD6" s="14"/>
      <c r="BE6" s="14">
        <f t="shared" ref="BE6:BE7" si="17">BB6-BD6</f>
        <v>3</v>
      </c>
      <c r="BF6" s="15"/>
      <c r="BG6" s="14"/>
      <c r="BH6" s="14">
        <f t="shared" ref="BH6:BH7" si="18">BE6-BG6</f>
        <v>3</v>
      </c>
      <c r="BI6" s="15"/>
      <c r="BJ6" s="14"/>
      <c r="BK6" s="14">
        <f t="shared" ref="BK6:BK7" si="19">BH6-BJ6</f>
        <v>3</v>
      </c>
      <c r="BL6" s="15"/>
      <c r="BM6" s="37">
        <v>3.0</v>
      </c>
      <c r="BN6" s="14">
        <f t="shared" ref="BN6:BN7" si="20">BK6-BM6</f>
        <v>0</v>
      </c>
      <c r="BO6" s="15"/>
      <c r="BP6" s="16">
        <f t="shared" ref="BP6:BP7" si="21">H6+K6+N6+Q6+T6+W6+Z6+AC6+AF6+AI6+AL6+AO6+AR6+AU6+AX6+BA6+BD6+BG6+BJ6+BM6</f>
        <v>43</v>
      </c>
      <c r="BQ6" s="16">
        <f t="shared" ref="BQ6:BQ7" si="22">G6-BP6</f>
        <v>0</v>
      </c>
    </row>
    <row r="7" ht="108.75" customHeight="1">
      <c r="A7" s="26"/>
      <c r="B7" s="18"/>
      <c r="C7" s="18"/>
      <c r="D7" s="36" t="s">
        <v>62</v>
      </c>
      <c r="E7" s="13" t="s">
        <v>33</v>
      </c>
      <c r="F7" s="36" t="s">
        <v>34</v>
      </c>
      <c r="G7" s="36">
        <v>41.0</v>
      </c>
      <c r="H7" s="14"/>
      <c r="I7" s="14">
        <f t="shared" si="1"/>
        <v>41</v>
      </c>
      <c r="J7" s="15"/>
      <c r="K7" s="14"/>
      <c r="L7" s="14">
        <f t="shared" si="2"/>
        <v>41</v>
      </c>
      <c r="M7" s="15"/>
      <c r="N7" s="14"/>
      <c r="O7" s="14">
        <f t="shared" si="3"/>
        <v>41</v>
      </c>
      <c r="P7" s="15"/>
      <c r="Q7" s="14"/>
      <c r="R7" s="14">
        <f t="shared" si="4"/>
        <v>41</v>
      </c>
      <c r="S7" s="15"/>
      <c r="T7" s="14"/>
      <c r="U7" s="14">
        <f t="shared" si="5"/>
        <v>41</v>
      </c>
      <c r="V7" s="15"/>
      <c r="W7" s="14"/>
      <c r="X7" s="14">
        <f t="shared" si="6"/>
        <v>41</v>
      </c>
      <c r="Y7" s="15"/>
      <c r="Z7" s="14"/>
      <c r="AA7" s="14">
        <f t="shared" si="7"/>
        <v>41</v>
      </c>
      <c r="AB7" s="15"/>
      <c r="AC7" s="14"/>
      <c r="AD7" s="14">
        <f t="shared" si="8"/>
        <v>41</v>
      </c>
      <c r="AE7" s="15"/>
      <c r="AF7" s="14"/>
      <c r="AG7" s="14">
        <f t="shared" si="9"/>
        <v>41</v>
      </c>
      <c r="AH7" s="15"/>
      <c r="AI7" s="14"/>
      <c r="AJ7" s="14">
        <f t="shared" si="10"/>
        <v>41</v>
      </c>
      <c r="AK7" s="15"/>
      <c r="AL7" s="37">
        <v>4.0</v>
      </c>
      <c r="AM7" s="14">
        <f t="shared" si="11"/>
        <v>37</v>
      </c>
      <c r="AN7" s="15"/>
      <c r="AO7" s="37">
        <v>4.0</v>
      </c>
      <c r="AP7" s="14">
        <f t="shared" si="12"/>
        <v>33</v>
      </c>
      <c r="AQ7" s="15"/>
      <c r="AR7" s="37">
        <v>4.0</v>
      </c>
      <c r="AS7" s="14">
        <f t="shared" si="13"/>
        <v>29</v>
      </c>
      <c r="AT7" s="15"/>
      <c r="AU7" s="37">
        <v>4.0</v>
      </c>
      <c r="AV7" s="14">
        <f t="shared" si="14"/>
        <v>25</v>
      </c>
      <c r="AW7" s="15"/>
      <c r="AX7" s="37">
        <v>4.0</v>
      </c>
      <c r="AY7" s="14">
        <f t="shared" si="15"/>
        <v>21</v>
      </c>
      <c r="AZ7" s="15"/>
      <c r="BA7" s="37">
        <v>4.0</v>
      </c>
      <c r="BB7" s="14">
        <f t="shared" si="16"/>
        <v>17</v>
      </c>
      <c r="BC7" s="15"/>
      <c r="BD7" s="37">
        <v>4.0</v>
      </c>
      <c r="BE7" s="14">
        <f t="shared" si="17"/>
        <v>13</v>
      </c>
      <c r="BF7" s="15"/>
      <c r="BG7" s="37">
        <v>4.0</v>
      </c>
      <c r="BH7" s="14">
        <f t="shared" si="18"/>
        <v>9</v>
      </c>
      <c r="BI7" s="15"/>
      <c r="BJ7" s="37">
        <v>4.0</v>
      </c>
      <c r="BK7" s="14">
        <f t="shared" si="19"/>
        <v>5</v>
      </c>
      <c r="BL7" s="15"/>
      <c r="BM7" s="37">
        <v>5.0</v>
      </c>
      <c r="BN7" s="14">
        <f t="shared" si="20"/>
        <v>0</v>
      </c>
      <c r="BO7" s="15"/>
      <c r="BP7" s="16">
        <f t="shared" si="21"/>
        <v>41</v>
      </c>
      <c r="BQ7" s="16">
        <f t="shared" si="22"/>
        <v>0</v>
      </c>
    </row>
    <row r="8">
      <c r="A8" s="20"/>
      <c r="B8" s="20"/>
      <c r="C8" s="20"/>
      <c r="D8" s="20"/>
      <c r="E8" s="20"/>
      <c r="F8" s="20"/>
      <c r="G8" s="20"/>
      <c r="H8" s="20"/>
      <c r="I8" s="20"/>
      <c r="J8" s="20"/>
      <c r="K8" s="20"/>
      <c r="L8" s="20"/>
      <c r="M8" s="20"/>
      <c r="N8" s="20"/>
      <c r="O8" s="20"/>
      <c r="P8" s="20"/>
      <c r="Q8" s="20"/>
      <c r="R8" s="20"/>
      <c r="S8" s="20"/>
      <c r="T8" s="20"/>
      <c r="U8" s="20"/>
      <c r="V8" s="20"/>
      <c r="W8" s="20"/>
      <c r="X8" s="20"/>
      <c r="Y8" s="20"/>
      <c r="Z8" s="27"/>
      <c r="AA8" s="38"/>
      <c r="AB8" s="39"/>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row>
    <row r="9">
      <c r="A9" s="1"/>
      <c r="B9" s="1"/>
      <c r="C9" s="1"/>
      <c r="D9" s="1"/>
      <c r="E9" s="1"/>
      <c r="F9" s="1"/>
      <c r="G9" s="1"/>
      <c r="H9" s="1"/>
      <c r="I9" s="1"/>
      <c r="J9" s="1"/>
      <c r="K9" s="1"/>
      <c r="L9" s="1"/>
      <c r="M9" s="1"/>
      <c r="N9" s="1"/>
      <c r="O9" s="1"/>
      <c r="P9" s="1"/>
      <c r="Q9" s="1"/>
      <c r="R9" s="1"/>
      <c r="S9" s="1"/>
      <c r="T9" s="1"/>
      <c r="U9" s="1"/>
      <c r="V9" s="1"/>
      <c r="W9" s="1"/>
      <c r="X9" s="1"/>
      <c r="Y9" s="1"/>
      <c r="Z9" s="1"/>
      <c r="AA9" s="20"/>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row>
    <row r="10">
      <c r="A10" s="1"/>
      <c r="B10" s="1"/>
      <c r="C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sheetData>
  <mergeCells count="23">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B6:B7"/>
    <mergeCell ref="C6:C7"/>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4" manualBreakCount="4">
    <brk id="36" man="1"/>
    <brk id="52" man="1"/>
    <brk id="21" man="1"/>
    <brk id="69" man="1"/>
  </col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45.57"/>
    <col customWidth="1" min="4" max="4" width="41.29"/>
    <col customWidth="1" min="5" max="5" width="21.29"/>
    <col customWidth="1" min="6" max="6" width="10.14"/>
    <col customWidth="1" min="7" max="7" width="15.43"/>
    <col customWidth="1" min="8" max="8" width="9.71"/>
    <col customWidth="1" min="9" max="9" width="20.14"/>
    <col customWidth="1" min="10" max="10" width="2.71"/>
    <col customWidth="1" min="11" max="11" width="9.71"/>
    <col customWidth="1" min="12" max="12" width="15.57"/>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4"/>
      <c r="B4" s="4"/>
      <c r="C4" s="4"/>
      <c r="D4" s="4"/>
      <c r="E4" s="4"/>
      <c r="F4" s="4"/>
      <c r="G4" s="4"/>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c r="AZ4" s="7"/>
      <c r="BA4" s="5" t="s">
        <v>18</v>
      </c>
      <c r="BB4" s="6"/>
      <c r="BC4" s="7"/>
      <c r="BD4" s="5" t="s">
        <v>19</v>
      </c>
      <c r="BE4" s="6"/>
      <c r="BF4" s="7"/>
      <c r="BG4" s="5" t="s">
        <v>20</v>
      </c>
      <c r="BH4" s="6"/>
      <c r="BI4" s="7"/>
      <c r="BJ4" s="5" t="s">
        <v>21</v>
      </c>
      <c r="BK4" s="6"/>
      <c r="BL4" s="7"/>
      <c r="BM4" s="5" t="s">
        <v>22</v>
      </c>
      <c r="BN4" s="6"/>
      <c r="BO4" s="7"/>
      <c r="BP4" s="5" t="s">
        <v>23</v>
      </c>
      <c r="BQ4" s="6"/>
    </row>
    <row r="5">
      <c r="A5" s="4"/>
      <c r="B5" s="8" t="s">
        <v>24</v>
      </c>
      <c r="C5" s="8" t="s">
        <v>25</v>
      </c>
      <c r="D5" s="8" t="s">
        <v>26</v>
      </c>
      <c r="E5" s="8" t="s">
        <v>27</v>
      </c>
      <c r="F5" s="8" t="s">
        <v>28</v>
      </c>
      <c r="G5" s="8"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26"/>
      <c r="B6" s="11" t="s">
        <v>63</v>
      </c>
      <c r="C6" s="40" t="s">
        <v>64</v>
      </c>
      <c r="D6" s="41" t="s">
        <v>65</v>
      </c>
      <c r="E6" s="42" t="s">
        <v>33</v>
      </c>
      <c r="F6" s="41" t="s">
        <v>34</v>
      </c>
      <c r="G6" s="43">
        <v>25.0</v>
      </c>
      <c r="H6" s="44"/>
      <c r="I6" s="44">
        <f t="shared" ref="I6:I10" si="1">G6-H6</f>
        <v>25</v>
      </c>
      <c r="J6" s="45"/>
      <c r="K6" s="46">
        <v>5.0</v>
      </c>
      <c r="L6" s="44">
        <f t="shared" ref="L6:L10" si="2">I6-K6</f>
        <v>20</v>
      </c>
      <c r="M6" s="45"/>
      <c r="N6" s="46">
        <v>5.0</v>
      </c>
      <c r="O6" s="44">
        <f t="shared" ref="O6:O10" si="3">L6-N6</f>
        <v>15</v>
      </c>
      <c r="P6" s="45"/>
      <c r="Q6" s="46">
        <v>5.0</v>
      </c>
      <c r="R6" s="44">
        <f t="shared" ref="R6:R10" si="4">O6-Q6</f>
        <v>10</v>
      </c>
      <c r="S6" s="45"/>
      <c r="T6" s="46">
        <v>5.0</v>
      </c>
      <c r="U6" s="44">
        <f t="shared" ref="U6:U10" si="5">R6-T6</f>
        <v>5</v>
      </c>
      <c r="V6" s="45"/>
      <c r="W6" s="46">
        <v>5.0</v>
      </c>
      <c r="X6" s="44">
        <f t="shared" ref="X6:X10" si="6">U6-W6</f>
        <v>0</v>
      </c>
      <c r="Y6" s="45"/>
      <c r="Z6" s="44"/>
      <c r="AA6" s="44">
        <f t="shared" ref="AA6:AA11" si="7">X6-Z6</f>
        <v>0</v>
      </c>
      <c r="AB6" s="45"/>
      <c r="AC6" s="44"/>
      <c r="AD6" s="44">
        <f t="shared" ref="AD6:AD10" si="8">AA6-AC6</f>
        <v>0</v>
      </c>
      <c r="AE6" s="45"/>
      <c r="AF6" s="44"/>
      <c r="AG6" s="44">
        <f t="shared" ref="AG6:AG10" si="9">AD6-AF6</f>
        <v>0</v>
      </c>
      <c r="AH6" s="45"/>
      <c r="AI6" s="44"/>
      <c r="AJ6" s="44">
        <f t="shared" ref="AJ6:AJ10" si="10">AG6-AI6</f>
        <v>0</v>
      </c>
      <c r="AK6" s="45"/>
      <c r="AL6" s="44"/>
      <c r="AM6" s="44">
        <f t="shared" ref="AM6:AM10" si="11">AJ6-AL6</f>
        <v>0</v>
      </c>
      <c r="AN6" s="45"/>
      <c r="AO6" s="44"/>
      <c r="AP6" s="44">
        <f t="shared" ref="AP6:AP10" si="12">AM6-AO6</f>
        <v>0</v>
      </c>
      <c r="AQ6" s="45"/>
      <c r="AR6" s="44"/>
      <c r="AS6" s="44">
        <f t="shared" ref="AS6:AS10" si="13">AP6-AR6</f>
        <v>0</v>
      </c>
      <c r="AT6" s="45"/>
      <c r="AU6" s="44"/>
      <c r="AV6" s="44">
        <f t="shared" ref="AV6:AV10" si="14">AS6-AU6</f>
        <v>0</v>
      </c>
      <c r="AW6" s="45"/>
      <c r="AX6" s="44"/>
      <c r="AY6" s="44">
        <f t="shared" ref="AY6:AY10" si="15">AV6-AX6</f>
        <v>0</v>
      </c>
      <c r="AZ6" s="45"/>
      <c r="BA6" s="44"/>
      <c r="BB6" s="44">
        <f t="shared" ref="BB6:BB10" si="16">AY6-BA6</f>
        <v>0</v>
      </c>
      <c r="BC6" s="45"/>
      <c r="BD6" s="44"/>
      <c r="BE6" s="44">
        <f t="shared" ref="BE6:BE10" si="17">BB6-BD6</f>
        <v>0</v>
      </c>
      <c r="BF6" s="45"/>
      <c r="BG6" s="44"/>
      <c r="BH6" s="44">
        <f t="shared" ref="BH6:BH10" si="18">BE6-BG6</f>
        <v>0</v>
      </c>
      <c r="BI6" s="45"/>
      <c r="BJ6" s="44"/>
      <c r="BK6" s="44">
        <f t="shared" ref="BK6:BK10" si="19">BH6-BJ6</f>
        <v>0</v>
      </c>
      <c r="BL6" s="45"/>
      <c r="BM6" s="44"/>
      <c r="BN6" s="44">
        <f t="shared" ref="BN6:BN10" si="20">BK6-BM6</f>
        <v>0</v>
      </c>
      <c r="BO6" s="45"/>
      <c r="BP6" s="47">
        <f t="shared" ref="BP6:BP10" si="21">H6+K6+N6+Q6+T6+W6+Z6+AC6+AF6+AI6+AL6+AO6+AR6+AU6+AX6+BA6+BD6+BG6+BJ6+BM6</f>
        <v>25</v>
      </c>
      <c r="BQ6" s="47">
        <f t="shared" ref="BQ6:BQ10" si="22">G6-BP6</f>
        <v>0</v>
      </c>
    </row>
    <row r="7">
      <c r="A7" s="1"/>
      <c r="B7" s="28"/>
      <c r="C7" s="28"/>
      <c r="D7" s="41" t="s">
        <v>66</v>
      </c>
      <c r="E7" s="42" t="s">
        <v>33</v>
      </c>
      <c r="F7" s="41" t="s">
        <v>34</v>
      </c>
      <c r="G7" s="43">
        <v>25.0</v>
      </c>
      <c r="H7" s="44"/>
      <c r="I7" s="44">
        <f t="shared" si="1"/>
        <v>25</v>
      </c>
      <c r="J7" s="45"/>
      <c r="K7" s="44"/>
      <c r="L7" s="44">
        <f t="shared" si="2"/>
        <v>25</v>
      </c>
      <c r="M7" s="45"/>
      <c r="N7" s="44"/>
      <c r="O7" s="44">
        <f t="shared" si="3"/>
        <v>25</v>
      </c>
      <c r="P7" s="45"/>
      <c r="Q7" s="44"/>
      <c r="R7" s="44">
        <f t="shared" si="4"/>
        <v>25</v>
      </c>
      <c r="S7" s="45"/>
      <c r="T7" s="44"/>
      <c r="U7" s="44">
        <f t="shared" si="5"/>
        <v>25</v>
      </c>
      <c r="V7" s="45"/>
      <c r="W7" s="44"/>
      <c r="X7" s="44">
        <f t="shared" si="6"/>
        <v>25</v>
      </c>
      <c r="Y7" s="45"/>
      <c r="Z7" s="46">
        <v>5.0</v>
      </c>
      <c r="AA7" s="44">
        <f t="shared" si="7"/>
        <v>20</v>
      </c>
      <c r="AB7" s="45"/>
      <c r="AC7" s="46">
        <v>5.0</v>
      </c>
      <c r="AD7" s="44">
        <f t="shared" si="8"/>
        <v>15</v>
      </c>
      <c r="AE7" s="45"/>
      <c r="AF7" s="44">
        <v>5.0</v>
      </c>
      <c r="AG7" s="44">
        <f t="shared" si="9"/>
        <v>10</v>
      </c>
      <c r="AH7" s="45"/>
      <c r="AI7" s="46">
        <v>5.0</v>
      </c>
      <c r="AJ7" s="44">
        <f t="shared" si="10"/>
        <v>5</v>
      </c>
      <c r="AK7" s="45"/>
      <c r="AL7" s="46">
        <v>5.0</v>
      </c>
      <c r="AM7" s="44">
        <f t="shared" si="11"/>
        <v>0</v>
      </c>
      <c r="AN7" s="45"/>
      <c r="AO7" s="44"/>
      <c r="AP7" s="44">
        <f t="shared" si="12"/>
        <v>0</v>
      </c>
      <c r="AQ7" s="45"/>
      <c r="AR7" s="44"/>
      <c r="AS7" s="44">
        <f t="shared" si="13"/>
        <v>0</v>
      </c>
      <c r="AT7" s="45"/>
      <c r="AU7" s="44"/>
      <c r="AV7" s="44">
        <f t="shared" si="14"/>
        <v>0</v>
      </c>
      <c r="AW7" s="45"/>
      <c r="AX7" s="44"/>
      <c r="AY7" s="44">
        <f t="shared" si="15"/>
        <v>0</v>
      </c>
      <c r="AZ7" s="45"/>
      <c r="BA7" s="44"/>
      <c r="BB7" s="44">
        <f t="shared" si="16"/>
        <v>0</v>
      </c>
      <c r="BC7" s="45"/>
      <c r="BD7" s="44"/>
      <c r="BE7" s="44">
        <f t="shared" si="17"/>
        <v>0</v>
      </c>
      <c r="BF7" s="45"/>
      <c r="BG7" s="44"/>
      <c r="BH7" s="44">
        <f t="shared" si="18"/>
        <v>0</v>
      </c>
      <c r="BI7" s="45"/>
      <c r="BJ7" s="44"/>
      <c r="BK7" s="44">
        <f t="shared" si="19"/>
        <v>0</v>
      </c>
      <c r="BL7" s="45"/>
      <c r="BM7" s="44"/>
      <c r="BN7" s="44">
        <f t="shared" si="20"/>
        <v>0</v>
      </c>
      <c r="BO7" s="45"/>
      <c r="BP7" s="47">
        <f t="shared" si="21"/>
        <v>25</v>
      </c>
      <c r="BQ7" s="47">
        <f t="shared" si="22"/>
        <v>0</v>
      </c>
    </row>
    <row r="8">
      <c r="A8" s="1"/>
      <c r="B8" s="28"/>
      <c r="C8" s="28"/>
      <c r="D8" s="41" t="s">
        <v>67</v>
      </c>
      <c r="E8" s="42" t="s">
        <v>33</v>
      </c>
      <c r="F8" s="41" t="s">
        <v>34</v>
      </c>
      <c r="G8" s="43">
        <v>25.0</v>
      </c>
      <c r="H8" s="44"/>
      <c r="I8" s="44">
        <f t="shared" si="1"/>
        <v>25</v>
      </c>
      <c r="J8" s="45"/>
      <c r="K8" s="44"/>
      <c r="L8" s="44">
        <f t="shared" si="2"/>
        <v>25</v>
      </c>
      <c r="M8" s="45"/>
      <c r="N8" s="44"/>
      <c r="O8" s="44">
        <f t="shared" si="3"/>
        <v>25</v>
      </c>
      <c r="P8" s="45"/>
      <c r="Q8" s="44"/>
      <c r="R8" s="44">
        <f t="shared" si="4"/>
        <v>25</v>
      </c>
      <c r="S8" s="45"/>
      <c r="T8" s="44"/>
      <c r="U8" s="44">
        <f t="shared" si="5"/>
        <v>25</v>
      </c>
      <c r="V8" s="45"/>
      <c r="W8" s="44"/>
      <c r="X8" s="44">
        <f t="shared" si="6"/>
        <v>25</v>
      </c>
      <c r="Y8" s="45"/>
      <c r="Z8" s="44"/>
      <c r="AA8" s="44">
        <f t="shared" si="7"/>
        <v>25</v>
      </c>
      <c r="AB8" s="45"/>
      <c r="AC8" s="44"/>
      <c r="AD8" s="44">
        <f t="shared" si="8"/>
        <v>25</v>
      </c>
      <c r="AE8" s="45"/>
      <c r="AF8" s="46">
        <v>0.0</v>
      </c>
      <c r="AG8" s="44">
        <f t="shared" si="9"/>
        <v>25</v>
      </c>
      <c r="AH8" s="45"/>
      <c r="AI8" s="44"/>
      <c r="AJ8" s="44">
        <f t="shared" si="10"/>
        <v>25</v>
      </c>
      <c r="AK8" s="45"/>
      <c r="AL8" s="44"/>
      <c r="AM8" s="44">
        <f t="shared" si="11"/>
        <v>25</v>
      </c>
      <c r="AN8" s="45"/>
      <c r="AO8" s="46">
        <v>5.0</v>
      </c>
      <c r="AP8" s="44">
        <f t="shared" si="12"/>
        <v>20</v>
      </c>
      <c r="AQ8" s="45"/>
      <c r="AR8" s="46">
        <v>5.0</v>
      </c>
      <c r="AS8" s="44">
        <f t="shared" si="13"/>
        <v>15</v>
      </c>
      <c r="AT8" s="45"/>
      <c r="AU8" s="46">
        <v>5.0</v>
      </c>
      <c r="AV8" s="44">
        <f t="shared" si="14"/>
        <v>10</v>
      </c>
      <c r="AW8" s="45"/>
      <c r="AX8" s="46">
        <v>5.0</v>
      </c>
      <c r="AY8" s="44">
        <f t="shared" si="15"/>
        <v>5</v>
      </c>
      <c r="AZ8" s="45"/>
      <c r="BA8" s="46">
        <v>5.0</v>
      </c>
      <c r="BB8" s="44">
        <f t="shared" si="16"/>
        <v>0</v>
      </c>
      <c r="BC8" s="45"/>
      <c r="BD8" s="44"/>
      <c r="BE8" s="44">
        <f t="shared" si="17"/>
        <v>0</v>
      </c>
      <c r="BF8" s="45"/>
      <c r="BG8" s="44"/>
      <c r="BH8" s="44">
        <f t="shared" si="18"/>
        <v>0</v>
      </c>
      <c r="BI8" s="45"/>
      <c r="BJ8" s="44"/>
      <c r="BK8" s="44">
        <f t="shared" si="19"/>
        <v>0</v>
      </c>
      <c r="BL8" s="45"/>
      <c r="BM8" s="44"/>
      <c r="BN8" s="44">
        <f t="shared" si="20"/>
        <v>0</v>
      </c>
      <c r="BO8" s="45"/>
      <c r="BP8" s="47">
        <f t="shared" si="21"/>
        <v>25</v>
      </c>
      <c r="BQ8" s="47">
        <f t="shared" si="22"/>
        <v>0</v>
      </c>
    </row>
    <row r="9">
      <c r="A9" s="26"/>
      <c r="B9" s="28"/>
      <c r="C9" s="28"/>
      <c r="D9" s="48" t="s">
        <v>68</v>
      </c>
      <c r="E9" s="42" t="s">
        <v>33</v>
      </c>
      <c r="F9" s="41" t="s">
        <v>34</v>
      </c>
      <c r="G9" s="43">
        <v>10.0</v>
      </c>
      <c r="H9" s="44"/>
      <c r="I9" s="44">
        <f t="shared" si="1"/>
        <v>10</v>
      </c>
      <c r="J9" s="45"/>
      <c r="K9" s="44"/>
      <c r="L9" s="44">
        <f t="shared" si="2"/>
        <v>10</v>
      </c>
      <c r="M9" s="45"/>
      <c r="N9" s="44"/>
      <c r="O9" s="44">
        <f t="shared" si="3"/>
        <v>10</v>
      </c>
      <c r="P9" s="45"/>
      <c r="Q9" s="44"/>
      <c r="R9" s="44">
        <f t="shared" si="4"/>
        <v>10</v>
      </c>
      <c r="S9" s="45"/>
      <c r="T9" s="44"/>
      <c r="U9" s="44">
        <f t="shared" si="5"/>
        <v>10</v>
      </c>
      <c r="V9" s="45"/>
      <c r="W9" s="44"/>
      <c r="X9" s="44">
        <f t="shared" si="6"/>
        <v>10</v>
      </c>
      <c r="Y9" s="45"/>
      <c r="Z9" s="44"/>
      <c r="AA9" s="44">
        <f t="shared" si="7"/>
        <v>10</v>
      </c>
      <c r="AB9" s="45"/>
      <c r="AC9" s="44"/>
      <c r="AD9" s="44">
        <f t="shared" si="8"/>
        <v>10</v>
      </c>
      <c r="AE9" s="45"/>
      <c r="AF9" s="44"/>
      <c r="AG9" s="44">
        <f t="shared" si="9"/>
        <v>10</v>
      </c>
      <c r="AH9" s="45"/>
      <c r="AI9" s="44"/>
      <c r="AJ9" s="44">
        <f t="shared" si="10"/>
        <v>10</v>
      </c>
      <c r="AK9" s="45"/>
      <c r="AL9" s="44"/>
      <c r="AM9" s="44">
        <f t="shared" si="11"/>
        <v>10</v>
      </c>
      <c r="AN9" s="45"/>
      <c r="AO9" s="44"/>
      <c r="AP9" s="44">
        <f t="shared" si="12"/>
        <v>10</v>
      </c>
      <c r="AQ9" s="45"/>
      <c r="AR9" s="44"/>
      <c r="AS9" s="44">
        <f t="shared" si="13"/>
        <v>10</v>
      </c>
      <c r="AT9" s="45"/>
      <c r="AU9" s="44"/>
      <c r="AV9" s="44">
        <f t="shared" si="14"/>
        <v>10</v>
      </c>
      <c r="AW9" s="45"/>
      <c r="AX9" s="44"/>
      <c r="AY9" s="44">
        <f t="shared" si="15"/>
        <v>10</v>
      </c>
      <c r="AZ9" s="45"/>
      <c r="BA9" s="44"/>
      <c r="BB9" s="44">
        <f t="shared" si="16"/>
        <v>10</v>
      </c>
      <c r="BC9" s="45"/>
      <c r="BD9" s="46">
        <v>5.0</v>
      </c>
      <c r="BE9" s="44">
        <f t="shared" si="17"/>
        <v>5</v>
      </c>
      <c r="BF9" s="45"/>
      <c r="BG9" s="46">
        <v>5.0</v>
      </c>
      <c r="BH9" s="44">
        <f t="shared" si="18"/>
        <v>0</v>
      </c>
      <c r="BI9" s="45"/>
      <c r="BJ9" s="44"/>
      <c r="BK9" s="44">
        <f t="shared" si="19"/>
        <v>0</v>
      </c>
      <c r="BL9" s="45"/>
      <c r="BM9" s="44"/>
      <c r="BN9" s="44">
        <f t="shared" si="20"/>
        <v>0</v>
      </c>
      <c r="BO9" s="45"/>
      <c r="BP9" s="47">
        <f t="shared" si="21"/>
        <v>10</v>
      </c>
      <c r="BQ9" s="47">
        <f t="shared" si="22"/>
        <v>0</v>
      </c>
    </row>
    <row r="10">
      <c r="A10" s="26"/>
      <c r="B10" s="18"/>
      <c r="C10" s="18"/>
      <c r="D10" s="48" t="s">
        <v>69</v>
      </c>
      <c r="E10" s="48" t="s">
        <v>33</v>
      </c>
      <c r="F10" s="41" t="s">
        <v>34</v>
      </c>
      <c r="G10" s="43">
        <v>10.0</v>
      </c>
      <c r="H10" s="44"/>
      <c r="I10" s="44">
        <f t="shared" si="1"/>
        <v>10</v>
      </c>
      <c r="J10" s="45"/>
      <c r="K10" s="44"/>
      <c r="L10" s="44">
        <f t="shared" si="2"/>
        <v>10</v>
      </c>
      <c r="M10" s="45"/>
      <c r="N10" s="44"/>
      <c r="O10" s="44">
        <f t="shared" si="3"/>
        <v>10</v>
      </c>
      <c r="P10" s="45"/>
      <c r="Q10" s="44"/>
      <c r="R10" s="44">
        <f t="shared" si="4"/>
        <v>10</v>
      </c>
      <c r="S10" s="45"/>
      <c r="T10" s="44"/>
      <c r="U10" s="44">
        <f t="shared" si="5"/>
        <v>10</v>
      </c>
      <c r="V10" s="45"/>
      <c r="W10" s="44"/>
      <c r="X10" s="44">
        <f t="shared" si="6"/>
        <v>10</v>
      </c>
      <c r="Y10" s="45"/>
      <c r="Z10" s="44"/>
      <c r="AA10" s="44">
        <f t="shared" si="7"/>
        <v>10</v>
      </c>
      <c r="AB10" s="45"/>
      <c r="AC10" s="44"/>
      <c r="AD10" s="44">
        <f t="shared" si="8"/>
        <v>10</v>
      </c>
      <c r="AE10" s="45"/>
      <c r="AF10" s="44"/>
      <c r="AG10" s="44">
        <f t="shared" si="9"/>
        <v>10</v>
      </c>
      <c r="AH10" s="45"/>
      <c r="AI10" s="44"/>
      <c r="AJ10" s="44">
        <f t="shared" si="10"/>
        <v>10</v>
      </c>
      <c r="AK10" s="45"/>
      <c r="AL10" s="44"/>
      <c r="AM10" s="44">
        <f t="shared" si="11"/>
        <v>10</v>
      </c>
      <c r="AN10" s="45"/>
      <c r="AO10" s="44"/>
      <c r="AP10" s="44">
        <f t="shared" si="12"/>
        <v>10</v>
      </c>
      <c r="AQ10" s="45"/>
      <c r="AR10" s="44"/>
      <c r="AS10" s="44">
        <f t="shared" si="13"/>
        <v>10</v>
      </c>
      <c r="AT10" s="45"/>
      <c r="AU10" s="44"/>
      <c r="AV10" s="44">
        <f t="shared" si="14"/>
        <v>10</v>
      </c>
      <c r="AW10" s="45"/>
      <c r="AX10" s="44"/>
      <c r="AY10" s="44">
        <f t="shared" si="15"/>
        <v>10</v>
      </c>
      <c r="AZ10" s="45"/>
      <c r="BA10" s="44"/>
      <c r="BB10" s="44">
        <f t="shared" si="16"/>
        <v>10</v>
      </c>
      <c r="BC10" s="45"/>
      <c r="BD10" s="44"/>
      <c r="BE10" s="44">
        <f t="shared" si="17"/>
        <v>10</v>
      </c>
      <c r="BF10" s="45"/>
      <c r="BG10" s="44"/>
      <c r="BH10" s="44">
        <f t="shared" si="18"/>
        <v>10</v>
      </c>
      <c r="BI10" s="45"/>
      <c r="BJ10" s="46">
        <v>5.0</v>
      </c>
      <c r="BK10" s="44">
        <f t="shared" si="19"/>
        <v>5</v>
      </c>
      <c r="BL10" s="45"/>
      <c r="BM10" s="46">
        <v>5.0</v>
      </c>
      <c r="BN10" s="44">
        <f t="shared" si="20"/>
        <v>0</v>
      </c>
      <c r="BO10" s="45"/>
      <c r="BP10" s="47">
        <f t="shared" si="21"/>
        <v>10</v>
      </c>
      <c r="BQ10" s="47">
        <f t="shared" si="22"/>
        <v>0</v>
      </c>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14">
        <f t="shared" si="7"/>
        <v>0</v>
      </c>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row>
    <row r="13">
      <c r="A13" s="1"/>
      <c r="B13" s="1"/>
      <c r="C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sheetData>
  <mergeCells count="23">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B6:B10"/>
    <mergeCell ref="C6:C10"/>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4" manualBreakCount="4">
    <brk id="36" man="1"/>
    <brk id="52" man="1"/>
    <brk id="69" man="1"/>
    <brk id="21" man="1"/>
  </col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50.0"/>
    <col customWidth="1" min="3" max="3" width="86.0"/>
    <col customWidth="1" min="4" max="4" width="2.86"/>
    <col customWidth="1" min="5" max="26" width="11.43"/>
  </cols>
  <sheetData>
    <row r="1">
      <c r="A1" s="1"/>
      <c r="B1" s="2" t="s">
        <v>70</v>
      </c>
      <c r="C1" s="1"/>
      <c r="D1" s="1"/>
      <c r="E1" s="1"/>
      <c r="F1" s="1"/>
      <c r="G1" s="1"/>
      <c r="H1" s="1"/>
      <c r="I1" s="1"/>
      <c r="J1" s="1"/>
      <c r="K1" s="1"/>
      <c r="L1" s="1"/>
      <c r="M1" s="1"/>
      <c r="N1" s="1"/>
      <c r="O1" s="1"/>
      <c r="P1" s="1"/>
      <c r="Q1" s="1"/>
      <c r="R1" s="1"/>
      <c r="S1" s="1"/>
      <c r="T1" s="1"/>
      <c r="U1" s="1"/>
      <c r="V1" s="1"/>
      <c r="W1" s="1"/>
      <c r="X1" s="1"/>
      <c r="Y1" s="1"/>
      <c r="Z1" s="1"/>
    </row>
    <row r="2">
      <c r="A2" s="1"/>
      <c r="B2" s="3" t="s">
        <v>71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49"/>
      <c r="B4" s="50" t="s">
        <v>72</v>
      </c>
      <c r="C4" s="50" t="s">
        <v>73</v>
      </c>
      <c r="D4" s="49"/>
      <c r="E4" s="49"/>
      <c r="F4" s="49"/>
      <c r="G4" s="49"/>
      <c r="H4" s="49"/>
      <c r="I4" s="49"/>
      <c r="J4" s="49"/>
      <c r="K4" s="49"/>
      <c r="L4" s="49"/>
      <c r="M4" s="49"/>
      <c r="N4" s="49"/>
      <c r="O4" s="49"/>
      <c r="P4" s="49"/>
      <c r="Q4" s="49"/>
      <c r="R4" s="49"/>
      <c r="S4" s="49"/>
      <c r="T4" s="49"/>
      <c r="U4" s="49"/>
      <c r="V4" s="49"/>
      <c r="W4" s="49"/>
      <c r="X4" s="49"/>
      <c r="Y4" s="49"/>
      <c r="Z4" s="49"/>
    </row>
    <row r="5">
      <c r="A5" s="1"/>
      <c r="B5" s="51" t="str">
        <f>'Sprint Backlog'!B5</f>
        <v>Identificador (ID) de item de product backlog</v>
      </c>
      <c r="C5" s="13" t="s">
        <v>74</v>
      </c>
      <c r="D5" s="1"/>
      <c r="E5" s="1"/>
      <c r="F5" s="1"/>
      <c r="G5" s="1"/>
      <c r="H5" s="1"/>
      <c r="I5" s="1"/>
      <c r="J5" s="1"/>
      <c r="K5" s="1"/>
      <c r="L5" s="1"/>
      <c r="M5" s="1"/>
      <c r="N5" s="1"/>
      <c r="O5" s="1"/>
      <c r="P5" s="1"/>
      <c r="Q5" s="1"/>
      <c r="R5" s="1"/>
      <c r="S5" s="1"/>
      <c r="T5" s="1"/>
      <c r="U5" s="1"/>
      <c r="V5" s="1"/>
      <c r="W5" s="1"/>
      <c r="X5" s="1"/>
      <c r="Y5" s="1"/>
      <c r="Z5" s="1"/>
    </row>
    <row r="6">
      <c r="A6" s="1"/>
      <c r="B6" s="51" t="str">
        <f>'Sprint Backlog'!C5</f>
        <v>Enunciado del item de Product Backlog</v>
      </c>
      <c r="C6" s="13" t="s">
        <v>75</v>
      </c>
      <c r="D6" s="1"/>
      <c r="E6" s="1"/>
      <c r="F6" s="1"/>
      <c r="G6" s="1"/>
      <c r="H6" s="1"/>
      <c r="I6" s="1"/>
      <c r="J6" s="1"/>
      <c r="K6" s="1"/>
      <c r="L6" s="1"/>
      <c r="M6" s="1"/>
      <c r="N6" s="1"/>
      <c r="O6" s="1"/>
      <c r="P6" s="1"/>
      <c r="Q6" s="1"/>
      <c r="R6" s="1"/>
      <c r="S6" s="1"/>
      <c r="T6" s="1"/>
      <c r="U6" s="1"/>
      <c r="V6" s="1"/>
      <c r="W6" s="1"/>
      <c r="X6" s="1"/>
      <c r="Y6" s="1"/>
      <c r="Z6" s="1"/>
    </row>
    <row r="7">
      <c r="A7" s="1"/>
      <c r="B7" s="51" t="s">
        <v>26</v>
      </c>
      <c r="C7" s="13" t="s">
        <v>76</v>
      </c>
      <c r="D7" s="1"/>
      <c r="E7" s="1"/>
      <c r="F7" s="1"/>
      <c r="G7" s="1"/>
      <c r="H7" s="1"/>
      <c r="I7" s="1"/>
      <c r="J7" s="1"/>
      <c r="K7" s="1"/>
      <c r="L7" s="1"/>
      <c r="M7" s="1"/>
      <c r="N7" s="1"/>
      <c r="O7" s="1"/>
      <c r="P7" s="1"/>
      <c r="Q7" s="1"/>
      <c r="R7" s="1"/>
      <c r="S7" s="1"/>
      <c r="T7" s="1"/>
      <c r="U7" s="1"/>
      <c r="V7" s="1"/>
      <c r="W7" s="1"/>
      <c r="X7" s="1"/>
      <c r="Y7" s="1"/>
      <c r="Z7" s="1"/>
    </row>
    <row r="8">
      <c r="A8" s="1"/>
      <c r="B8" s="51" t="s">
        <v>27</v>
      </c>
      <c r="C8" s="13" t="s">
        <v>77</v>
      </c>
      <c r="D8" s="1"/>
      <c r="E8" s="1"/>
      <c r="F8" s="1"/>
      <c r="G8" s="1"/>
      <c r="H8" s="1"/>
      <c r="I8" s="1"/>
      <c r="J8" s="1"/>
      <c r="K8" s="1"/>
      <c r="L8" s="1"/>
      <c r="M8" s="1"/>
      <c r="N8" s="1"/>
      <c r="O8" s="1"/>
      <c r="P8" s="1"/>
      <c r="Q8" s="1"/>
      <c r="R8" s="1"/>
      <c r="S8" s="1"/>
      <c r="T8" s="1"/>
      <c r="U8" s="1"/>
      <c r="V8" s="1"/>
      <c r="W8" s="1"/>
      <c r="X8" s="1"/>
      <c r="Y8" s="1"/>
      <c r="Z8" s="1"/>
    </row>
    <row r="9">
      <c r="A9" s="1"/>
      <c r="B9" s="51" t="s">
        <v>28</v>
      </c>
      <c r="C9" s="13" t="s">
        <v>78</v>
      </c>
      <c r="D9" s="1"/>
      <c r="E9" s="1"/>
      <c r="F9" s="1"/>
      <c r="G9" s="1"/>
      <c r="H9" s="1"/>
      <c r="I9" s="1"/>
      <c r="J9" s="1"/>
      <c r="K9" s="1"/>
      <c r="L9" s="1"/>
      <c r="M9" s="1"/>
      <c r="N9" s="1"/>
      <c r="O9" s="1"/>
      <c r="P9" s="1"/>
      <c r="Q9" s="1"/>
      <c r="R9" s="1"/>
      <c r="S9" s="1"/>
      <c r="T9" s="1"/>
      <c r="U9" s="1"/>
      <c r="V9" s="1"/>
      <c r="W9" s="1"/>
      <c r="X9" s="1"/>
      <c r="Y9" s="1"/>
      <c r="Z9" s="1"/>
    </row>
    <row r="10">
      <c r="A10" s="1"/>
      <c r="B10" s="51" t="s">
        <v>29</v>
      </c>
      <c r="C10" s="13" t="s">
        <v>79</v>
      </c>
      <c r="D10" s="1"/>
      <c r="E10" s="1"/>
      <c r="F10" s="1"/>
      <c r="G10" s="1"/>
      <c r="H10" s="1"/>
      <c r="I10" s="1"/>
      <c r="J10" s="1"/>
      <c r="K10" s="1"/>
      <c r="L10" s="1"/>
      <c r="M10" s="1"/>
      <c r="N10" s="1"/>
      <c r="O10" s="1"/>
      <c r="P10" s="1"/>
      <c r="Q10" s="1"/>
      <c r="R10" s="1"/>
      <c r="S10" s="1"/>
      <c r="T10" s="1"/>
      <c r="U10" s="1"/>
      <c r="V10" s="1"/>
      <c r="W10" s="1"/>
      <c r="X10" s="1"/>
      <c r="Y10" s="1"/>
      <c r="Z10" s="1"/>
    </row>
    <row r="11">
      <c r="A11" s="1"/>
      <c r="B11" s="51" t="s">
        <v>80</v>
      </c>
      <c r="C11" s="13" t="s">
        <v>81</v>
      </c>
      <c r="D11" s="1"/>
      <c r="E11" s="1"/>
      <c r="F11" s="1"/>
      <c r="G11" s="1"/>
      <c r="H11" s="1"/>
      <c r="I11" s="1"/>
      <c r="J11" s="1"/>
      <c r="K11" s="1"/>
      <c r="L11" s="1"/>
      <c r="M11" s="1"/>
      <c r="N11" s="1"/>
      <c r="O11" s="1"/>
      <c r="P11" s="1"/>
      <c r="Q11" s="1"/>
      <c r="R11" s="1"/>
      <c r="S11" s="1"/>
      <c r="T11" s="1"/>
      <c r="U11" s="1"/>
      <c r="V11" s="1"/>
      <c r="W11" s="1"/>
      <c r="X11" s="1"/>
      <c r="Y11" s="1"/>
      <c r="Z11" s="1"/>
    </row>
    <row r="12">
      <c r="A12" s="1"/>
      <c r="B12" s="51" t="s">
        <v>30</v>
      </c>
      <c r="C12" s="13" t="s">
        <v>82</v>
      </c>
      <c r="D12" s="1"/>
      <c r="E12" s="1"/>
      <c r="F12" s="1"/>
      <c r="G12" s="1"/>
      <c r="H12" s="1"/>
      <c r="I12" s="1"/>
      <c r="J12" s="1"/>
      <c r="K12" s="1"/>
      <c r="L12" s="1"/>
      <c r="M12" s="1"/>
      <c r="N12" s="1"/>
      <c r="O12" s="1"/>
      <c r="P12" s="1"/>
      <c r="Q12" s="1"/>
      <c r="R12" s="1"/>
      <c r="S12" s="1"/>
      <c r="T12" s="1"/>
      <c r="U12" s="1"/>
      <c r="V12" s="1"/>
      <c r="W12" s="1"/>
      <c r="X12" s="1"/>
      <c r="Y12" s="1"/>
      <c r="Z12" s="1"/>
    </row>
    <row r="13">
      <c r="A13" s="1"/>
      <c r="B13" s="51" t="s">
        <v>31</v>
      </c>
      <c r="C13" s="13" t="s">
        <v>83</v>
      </c>
      <c r="D13" s="1"/>
      <c r="E13" s="1"/>
      <c r="F13" s="1"/>
      <c r="G13" s="1"/>
      <c r="H13" s="1"/>
      <c r="I13" s="1"/>
      <c r="J13" s="1"/>
      <c r="K13" s="1"/>
      <c r="L13" s="1"/>
      <c r="M13" s="1"/>
      <c r="N13" s="1"/>
      <c r="O13" s="1"/>
      <c r="P13" s="1"/>
      <c r="Q13" s="1"/>
      <c r="R13" s="1"/>
      <c r="S13" s="1"/>
      <c r="T13" s="1"/>
      <c r="U13" s="1"/>
      <c r="V13" s="1"/>
      <c r="W13" s="1"/>
      <c r="X13" s="1"/>
      <c r="Y13" s="1"/>
      <c r="Z13" s="1"/>
    </row>
    <row r="14">
      <c r="A14" s="1"/>
      <c r="B14" s="51" t="s">
        <v>23</v>
      </c>
      <c r="C14" s="13" t="s">
        <v>84</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