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7V\Grupo 6\Fase 3\Evidencias Grupales\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37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I57" i="1"/>
  <c r="F57" i="1"/>
  <c r="G57" i="1" s="1"/>
  <c r="E57" i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I53" i="1"/>
  <c r="F53" i="1"/>
  <c r="G53" i="1" s="1"/>
  <c r="E53" i="1"/>
  <c r="J52" i="1"/>
  <c r="K52" i="1" s="1"/>
  <c r="H52" i="1"/>
  <c r="I52" i="1" s="1"/>
  <c r="F52" i="1"/>
  <c r="G52" i="1" s="1"/>
  <c r="D52" i="1"/>
  <c r="E52" i="1" s="1"/>
  <c r="B23" i="1"/>
  <c r="B10" i="1"/>
  <c r="B40" i="1"/>
  <c r="B41" i="1"/>
  <c r="B42" i="1"/>
  <c r="B43" i="1"/>
  <c r="B44" i="1"/>
  <c r="B45" i="1"/>
  <c r="B39" i="1"/>
  <c r="J45" i="1"/>
  <c r="K45" i="1" s="1"/>
  <c r="H45" i="1"/>
  <c r="I45" i="1" s="1"/>
  <c r="F45" i="1"/>
  <c r="G45" i="1" s="1"/>
  <c r="D45" i="1"/>
  <c r="E45" i="1" s="1"/>
  <c r="K44" i="1"/>
  <c r="I44" i="1"/>
  <c r="F44" i="1"/>
  <c r="G44" i="1" s="1"/>
  <c r="E44" i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K40" i="1"/>
  <c r="I40" i="1"/>
  <c r="F40" i="1"/>
  <c r="G40" i="1" s="1"/>
  <c r="E40" i="1"/>
  <c r="J39" i="1"/>
  <c r="K39" i="1" s="1"/>
  <c r="H39" i="1"/>
  <c r="I39" i="1" s="1"/>
  <c r="F39" i="1"/>
  <c r="G39" i="1" s="1"/>
  <c r="D39" i="1"/>
  <c r="E39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I30" i="1"/>
  <c r="F30" i="1"/>
  <c r="G30" i="1" s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I26" i="1"/>
  <c r="F26" i="1"/>
  <c r="G26" i="1" s="1"/>
  <c r="E26" i="1"/>
  <c r="J25" i="1"/>
  <c r="K25" i="1" s="1"/>
  <c r="H25" i="1"/>
  <c r="I25" i="1" s="1"/>
  <c r="F25" i="1"/>
  <c r="G25" i="1" s="1"/>
  <c r="D25" i="1"/>
  <c r="E25" i="1" s="1"/>
  <c r="E59" i="1" l="1"/>
  <c r="E32" i="1"/>
  <c r="G32" i="1"/>
  <c r="G59" i="1"/>
  <c r="I59" i="1"/>
  <c r="K59" i="1"/>
  <c r="E46" i="1"/>
  <c r="K46" i="1"/>
  <c r="G46" i="1"/>
  <c r="I46" i="1"/>
  <c r="I32" i="1"/>
  <c r="K32" i="1"/>
  <c r="C32" i="1" l="1"/>
  <c r="C33" i="1" s="1"/>
  <c r="C5" i="1" s="1"/>
  <c r="C59" i="1"/>
  <c r="C60" i="1" s="1"/>
  <c r="D5" i="1" s="1"/>
  <c r="C46" i="1"/>
  <c r="C47" i="1" s="1"/>
  <c r="D4" i="1" s="1"/>
  <c r="B13" i="1" l="1"/>
  <c r="B14" i="1"/>
  <c r="B15" i="1"/>
  <c r="B16" i="1"/>
  <c r="B17" i="1"/>
  <c r="B18" i="1"/>
  <c r="D12" i="1" l="1"/>
  <c r="E12" i="1" s="1"/>
  <c r="E13" i="1"/>
  <c r="D14" i="1"/>
  <c r="E14" i="1" s="1"/>
  <c r="D15" i="1"/>
  <c r="E15" i="1" s="1"/>
  <c r="D16" i="1"/>
  <c r="E16" i="1" s="1"/>
  <c r="E17" i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I17" i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I13" i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20" i="1" s="1"/>
  <c r="C4" i="1" s="1"/>
  <c r="E5" i="1" l="1"/>
  <c r="E4" i="1"/>
</calcChain>
</file>

<file path=xl/sharedStrings.xml><?xml version="1.0" encoding="utf-8"?>
<sst xmlns="http://schemas.openxmlformats.org/spreadsheetml/2006/main" count="137" uniqueCount="65">
  <si>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</si>
  <si>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</si>
  <si>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</si>
  <si>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</si>
  <si>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</si>
  <si>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</si>
  <si>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</si>
  <si>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</si>
  <si>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</si>
  <si>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</si>
  <si>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</si>
  <si>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</si>
  <si>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</si>
  <si>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</si>
  <si>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</si>
  <si>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</si>
  <si>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</si>
  <si>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</si>
  <si>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</si>
  <si>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</si>
  <si>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</si>
  <si>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</si>
  <si>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</si>
  <si>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</si>
  <si>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</si>
  <si>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</si>
  <si>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</si>
  <si>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</si>
  <si>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</si>
  <si>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</si>
  <si>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</si>
  <si>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</si>
  <si>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</si>
  <si>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</si>
  <si>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</si>
  <si>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</si>
  <si>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</si>
  <si>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</si>
  <si>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</si>
  <si>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</si>
  <si>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</si>
  <si>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</si>
  <si>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</si>
  <si>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</si>
  <si>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</si>
  <si>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</si>
  <si>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</si>
  <si>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</si>
  <si>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</si>
  <si>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</si>
  <si>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</si>
  <si>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</si>
  <si>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</si>
  <si>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</si>
  <si>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</si>
  <si>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</si>
  <si>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</si>
  <si>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</si>
  <si>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</si>
  <si>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</si>
  <si>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</si>
  <si>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</si>
  <si>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Eduardo Villegas</t>
  </si>
  <si>
    <t>Percy Santibañez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</si>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</sst>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73"/>
  <sheetViews>
    <sheetView tabSelected="1" topLeftCell="B1" zoomScale="120" zoomScaleNormal="120" workbookViewId="0">
      <selection activeCell="H67" sqref="H6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4.5999999999999996</v>
      </c>
      <c r="D4" s="37">
        <f>C47</f>
        <v>4.5999999999999996</v>
      </c>
      <c r="E4" s="36">
        <f>C4*C$2+D4*D$2</f>
        <v>4.5999999999999996</v>
      </c>
    </row>
    <row r="5" spans="1:11" ht="14.4" x14ac:dyDescent="0.3">
      <c r="A5" s="3">
        <v>2</v>
      </c>
      <c r="B5" s="16" t="s">
        <v>63</v>
      </c>
      <c r="C5" s="31">
        <f>C33</f>
        <v>4.5999999999999996</v>
      </c>
      <c r="D5" s="37">
        <f>C60</f>
        <v>4.5999999999999996</v>
      </c>
      <c r="E5" s="36">
        <f t="shared" ref="E5" si="0">C5*C$2+D5*D$2</f>
        <v>4.5999999999999996</v>
      </c>
    </row>
    <row r="10" spans="1:11" ht="18" outlineLevel="1" x14ac:dyDescent="0.3">
      <c r="A10" s="48" t="s">
        <v>4</v>
      </c>
      <c r="B10" s="11" t="str">
        <f>B4</f>
        <v>Eduardo Villegas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8</v>
      </c>
      <c r="D12" s="12" t="str">
        <f t="shared" ref="D12:D16" si="1">IF($C12=CL,"X","")</f>
        <v>X</v>
      </c>
      <c r="E12" s="12">
        <f>IF(D12="X",100*0.15,"")</f>
        <v>15</v>
      </c>
      <c r="F12" s="12" t="str">
        <f t="shared" ref="F12:F16" si="2">IF($C12=L,"X","")</f>
        <v/>
      </c>
      <c r="G12" s="12" t="str">
        <f>IF(F12="X",60*0.15,"")</f>
        <v/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/>
      <c r="E13" s="12" t="str">
        <f>IF(D13="X",100*0.25,"")</f>
        <v/>
      </c>
      <c r="F13" s="12" t="str">
        <f t="shared" si="2"/>
        <v/>
      </c>
      <c r="G13" s="12" t="str">
        <f>IF(F13="X",60*0.25,"")</f>
        <v/>
      </c>
      <c r="H13" s="12" t="s">
        <v>64</v>
      </c>
      <c r="I13" s="12">
        <f>IF(H13="X",30*0.25,"")</f>
        <v>7.5</v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8</v>
      </c>
      <c r="D14" s="12" t="str">
        <f t="shared" si="1"/>
        <v>X</v>
      </c>
      <c r="E14" s="12">
        <f>IF(D14="X",100*0.2,"")</f>
        <v>20</v>
      </c>
      <c r="F14" s="12" t="str">
        <f t="shared" si="2"/>
        <v/>
      </c>
      <c r="G14" s="12" t="str">
        <f>IF(F14="X",60*0.2,"")</f>
        <v/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8</v>
      </c>
      <c r="D15" s="12" t="str">
        <f t="shared" si="1"/>
        <v>X</v>
      </c>
      <c r="E15" s="12">
        <f>IF(D15="X",100*0.05,"")</f>
        <v>5</v>
      </c>
      <c r="F15" s="12" t="str">
        <f t="shared" si="2"/>
        <v/>
      </c>
      <c r="G15" s="12" t="str">
        <f>IF(F15="X",60*0.05,"")</f>
        <v/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8</v>
      </c>
      <c r="D17" s="12"/>
      <c r="E17" s="12" t="str">
        <f>IF(D17="X",100*0.2,"")</f>
        <v/>
      </c>
      <c r="F17" s="12" t="str">
        <f>IF($C17=L,"X","")</f>
        <v/>
      </c>
      <c r="G17" s="12" t="str">
        <f>IF(F17="X",60*0.2,"")</f>
        <v/>
      </c>
      <c r="H17" s="12" t="s">
        <v>64</v>
      </c>
      <c r="I17" s="12">
        <f>IF(H17="X",30*0.2,"")</f>
        <v>6</v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68.5</v>
      </c>
      <c r="D19" s="13"/>
      <c r="E19" s="13">
        <f>SUM(E12:E18)</f>
        <v>55</v>
      </c>
      <c r="F19" s="13"/>
      <c r="G19" s="13">
        <f>SUM(G12:G18)</f>
        <v>0</v>
      </c>
      <c r="H19" s="13"/>
      <c r="I19" s="13">
        <f>SUM(I12:I18)</f>
        <v>13.5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f>VLOOKUP(C19,ESCALA_IEP!A2:B202,2,FALSE)</f>
        <v>4.5999999999999996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48" t="s">
        <v>4</v>
      </c>
      <c r="B23" s="11" t="str">
        <f>B5</f>
        <v>Percy Santibañez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8</v>
      </c>
      <c r="D25" s="12" t="str">
        <f t="shared" ref="D25:D29" si="7">IF($C25=CL,"X","")</f>
        <v>X</v>
      </c>
      <c r="E25" s="12">
        <f>IF(D25="X",100*0.15,"")</f>
        <v>15</v>
      </c>
      <c r="F25" s="12" t="str">
        <f t="shared" ref="F25:F29" si="8">IF($C25=L,"X","")</f>
        <v/>
      </c>
      <c r="G25" s="12" t="str">
        <f>IF(F25="X",60*0.15,"")</f>
        <v/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/>
      <c r="E26" s="12" t="str">
        <f>IF(D26="X",100*0.25,"")</f>
        <v/>
      </c>
      <c r="F26" s="12" t="str">
        <f t="shared" si="8"/>
        <v/>
      </c>
      <c r="G26" s="12" t="str">
        <f>IF(F26="X",60*0.25,"")</f>
        <v/>
      </c>
      <c r="H26" s="12" t="s">
        <v>64</v>
      </c>
      <c r="I26" s="12">
        <f>IF(H26="X",30*0.25,"")</f>
        <v>7.5</v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8</v>
      </c>
      <c r="D27" s="12" t="str">
        <f t="shared" si="7"/>
        <v>X</v>
      </c>
      <c r="E27" s="12">
        <f>IF(D27="X",100*0.2,"")</f>
        <v>20</v>
      </c>
      <c r="F27" s="12" t="str">
        <f t="shared" si="8"/>
        <v/>
      </c>
      <c r="G27" s="12" t="str">
        <f>IF(F27="X",60*0.2,"")</f>
        <v/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8</v>
      </c>
      <c r="D28" s="12" t="str">
        <f t="shared" si="7"/>
        <v>X</v>
      </c>
      <c r="E28" s="12">
        <f>IF(D28="X",100*0.05,"")</f>
        <v>5</v>
      </c>
      <c r="F28" s="12" t="str">
        <f t="shared" si="8"/>
        <v/>
      </c>
      <c r="G28" s="12" t="str">
        <f>IF(F28="X",60*0.05,"")</f>
        <v/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8</v>
      </c>
      <c r="D30" s="12"/>
      <c r="E30" s="12" t="str">
        <f>IF(D30="X",100*0.2,"")</f>
        <v/>
      </c>
      <c r="F30" s="12" t="str">
        <f>IF($C30=L,"X","")</f>
        <v/>
      </c>
      <c r="G30" s="12" t="str">
        <f>IF(F30="X",60*0.2,"")</f>
        <v/>
      </c>
      <c r="H30" s="12" t="s">
        <v>64</v>
      </c>
      <c r="I30" s="12">
        <f>IF(H30="X",30*0.2,"")</f>
        <v>6</v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68.5</v>
      </c>
      <c r="D32" s="13"/>
      <c r="E32" s="13">
        <f>SUM(E25:E31)</f>
        <v>55</v>
      </c>
      <c r="F32" s="13"/>
      <c r="G32" s="13">
        <f>SUM(G25:G31)</f>
        <v>0</v>
      </c>
      <c r="H32" s="13"/>
      <c r="I32" s="13">
        <f>SUM(I25:I31)</f>
        <v>13.5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f>VLOOKUP(C32,ESCALA_IEP!A15:B215,2,FALSE)</f>
        <v>4.5999999999999996</v>
      </c>
    </row>
    <row r="34" spans="1:11" ht="16.2" customHeight="1" x14ac:dyDescent="0.3"/>
    <row r="35" spans="1:11" ht="13.95" customHeight="1" x14ac:dyDescent="0.3"/>
    <row r="36" spans="1:11" ht="15.75" customHeight="1" x14ac:dyDescent="0.3"/>
    <row r="37" spans="1:11" ht="24" customHeight="1" x14ac:dyDescent="0.3">
      <c r="A37" s="39" t="s">
        <v>14</v>
      </c>
      <c r="B37" s="11" t="str">
        <f>B4</f>
        <v>Eduardo Villegas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tr">
        <f t="shared" si="13"/>
        <v/>
      </c>
      <c r="G40" s="12" t="str">
        <f>IF(F40="X",60*0.25,"")</f>
        <v/>
      </c>
      <c r="H40" s="12" t="s">
        <v>64</v>
      </c>
      <c r="I40" s="12">
        <f>IF(H40="X",30*0.25,"")</f>
        <v>7.5</v>
      </c>
      <c r="J40" s="12"/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">
        <v>64</v>
      </c>
      <c r="I44" s="12">
        <f>IF(H44="X",30*0.2,"")</f>
        <v>6</v>
      </c>
      <c r="J44" s="12"/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68.5</v>
      </c>
      <c r="D46" s="13"/>
      <c r="E46" s="13">
        <f>SUM(E39:E45)</f>
        <v>55</v>
      </c>
      <c r="F46" s="13"/>
      <c r="G46" s="13">
        <f>SUM(G39:G45)</f>
        <v>0</v>
      </c>
      <c r="H46" s="13"/>
      <c r="I46" s="13">
        <f>SUM(I39:I45)</f>
        <v>13.5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VLOOKUP(C46,ESCALA_IEP!A41:B241,2,FALSE)</f>
        <v>4.5999999999999996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15</v>
      </c>
      <c r="B50" s="11" t="str">
        <f>B5</f>
        <v>Percy Santibañez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tr">
        <f t="shared" si="18"/>
        <v/>
      </c>
      <c r="G53" s="12" t="str">
        <f>IF(F53="X",60*0.25,"")</f>
        <v/>
      </c>
      <c r="H53" s="12" t="s">
        <v>64</v>
      </c>
      <c r="I53" s="12">
        <f>IF(H53="X",30*0.25,"")</f>
        <v>7.5</v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tr">
        <f>IF($C57=L,"X","")</f>
        <v/>
      </c>
      <c r="G57" s="12" t="str">
        <f>IF(F57="X",60*0.2,"")</f>
        <v/>
      </c>
      <c r="H57" s="12" t="s">
        <v>64</v>
      </c>
      <c r="I57" s="12">
        <f>IF(H57="X",30*0.2,"")</f>
        <v>6</v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68.5</v>
      </c>
      <c r="D59" s="13"/>
      <c r="E59" s="13">
        <f>SUM(E52:E58)</f>
        <v>55</v>
      </c>
      <c r="F59" s="13"/>
      <c r="G59" s="13">
        <f>SUM(G52:G58)</f>
        <v>0</v>
      </c>
      <c r="H59" s="13"/>
      <c r="I59" s="13">
        <f>SUM(I52:I58)</f>
        <v>13.5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VLOOKUP(C59,ESCALA_IEP!A54:B254,2,FALSE)</f>
        <v>4.5999999999999996</v>
      </c>
    </row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</sheetData>
  <mergeCells count="28">
    <mergeCell ref="A23:A33"/>
    <mergeCell ref="C23:C24"/>
    <mergeCell ref="A10:A20"/>
    <mergeCell ref="C10:C11"/>
    <mergeCell ref="D11:E11"/>
    <mergeCell ref="D10:K10"/>
    <mergeCell ref="F11:G11"/>
    <mergeCell ref="H11:I11"/>
    <mergeCell ref="J11:K11"/>
    <mergeCell ref="A37:A47"/>
    <mergeCell ref="C37:C38"/>
    <mergeCell ref="D37:K37"/>
    <mergeCell ref="D38:E38"/>
    <mergeCell ref="F38:G38"/>
    <mergeCell ref="H38:I38"/>
    <mergeCell ref="J38:K38"/>
    <mergeCell ref="D23:K23"/>
    <mergeCell ref="D24:E24"/>
    <mergeCell ref="F24:G24"/>
    <mergeCell ref="H24:I24"/>
    <mergeCell ref="J24:K24"/>
    <mergeCell ref="A50:A60"/>
    <mergeCell ref="C50:C51"/>
    <mergeCell ref="D50:K50"/>
    <mergeCell ref="D51:E51"/>
    <mergeCell ref="F51:G51"/>
    <mergeCell ref="H51:I51"/>
    <mergeCell ref="J51:K51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C12:C18 C25:C31 C39:C45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2025-12-12T01:34:30Z</dcterms:modified>
  <cp:category/>
  <cp:contentStatus/>
</cp:coreProperties>
</file>