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3AdzTOfD8KTAeyNi4L5MSAlXXTKmwQgTSY7shZ+dQg="/>
    </ext>
  </extLst>
</workbook>
</file>

<file path=xl/sharedStrings.xml><?xml version="1.0" encoding="utf-8"?>
<sst xmlns="http://schemas.openxmlformats.org/spreadsheetml/2006/main" count="32" uniqueCount="31">
  <si>
    <t>Porcentaje Margen</t>
  </si>
  <si>
    <t>PRESUPUESTO MIGRATIO</t>
  </si>
  <si>
    <t>Desarrollo Migratio</t>
  </si>
  <si>
    <t>Tareas</t>
  </si>
  <si>
    <t>Cantidad</t>
  </si>
  <si>
    <t>Valor Neto</t>
  </si>
  <si>
    <t>Costo total Neto</t>
  </si>
  <si>
    <t>SPRINT 1</t>
  </si>
  <si>
    <t>Investigar cámara</t>
  </si>
  <si>
    <t>Configurar transmisión en tiempo real</t>
  </si>
  <si>
    <t>Desarrollar script de captura</t>
  </si>
  <si>
    <t>Validar pruebas piloto</t>
  </si>
  <si>
    <t>SPRINT 2</t>
  </si>
  <si>
    <t>Definir endpoints + API RESTFULL</t>
  </si>
  <si>
    <t>Crear proyecto base en Node.js + Express</t>
  </si>
  <si>
    <t>Configurar BD PostgreSQL</t>
  </si>
  <si>
    <t>Validar funcionamiento desde interfaz</t>
  </si>
  <si>
    <t>SPRINT 3</t>
  </si>
  <si>
    <t>Desarrollo aplicación</t>
  </si>
  <si>
    <t>Prueba piloto</t>
  </si>
  <si>
    <t>RECURSOS</t>
  </si>
  <si>
    <t>EQUIPAMIENTO</t>
  </si>
  <si>
    <t>Switch POE 4 CH</t>
  </si>
  <si>
    <t>MIKROTIK RB960PGS</t>
  </si>
  <si>
    <t>Patch Cord</t>
  </si>
  <si>
    <t>Camara IP Dahua 2.8 megapixeles</t>
  </si>
  <si>
    <t>COSTO TOTAL DEL PROYECTO</t>
  </si>
  <si>
    <t>VENTA TOTAL NETO</t>
  </si>
  <si>
    <t>IVA</t>
  </si>
  <si>
    <t xml:space="preserve">COSTO TOTAL </t>
  </si>
  <si>
    <t>VENTA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</si>
</sst>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sz val="18.0"/>
      <color theme="1"/>
      <name val="Calibri"/>
    </font>
    <font>
      <b/>
      <sz val="18.0"/>
      <color theme="0"/>
      <name val="Calibri"/>
    </font>
    <font/>
    <font>
      <b/>
      <sz val="14.0"/>
      <color theme="0"/>
      <name val="Calibri"/>
    </font>
    <font>
      <b/>
      <sz val="18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2" numFmtId="0" xfId="0" applyBorder="1" applyFill="1" applyFont="1"/>
    <xf borderId="1" fillId="3" fontId="3" numFmtId="9" xfId="0" applyAlignment="1" applyBorder="1" applyFill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4" fontId="7" numFmtId="0" xfId="0" applyAlignment="1" applyBorder="1" applyFill="1" applyFont="1">
      <alignment horizontal="center" vertical="center"/>
    </xf>
    <xf borderId="0" fillId="0" fontId="8" numFmtId="0" xfId="0" applyFont="1"/>
    <xf borderId="6" fillId="0" fontId="1" numFmtId="0" xfId="0" applyBorder="1" applyFont="1"/>
    <xf borderId="6" fillId="0" fontId="1" numFmtId="164" xfId="0" applyAlignment="1" applyBorder="1" applyFont="1" applyNumberFormat="1">
      <alignment horizontal="center" readingOrder="0" vertical="center"/>
    </xf>
    <xf borderId="7" fillId="0" fontId="1" numFmtId="164" xfId="0" applyBorder="1" applyFont="1" applyNumberFormat="1"/>
    <xf borderId="9" fillId="0" fontId="5" numFmtId="0" xfId="0" applyBorder="1" applyFont="1"/>
    <xf borderId="6" fillId="5" fontId="1" numFmtId="0" xfId="0" applyAlignment="1" applyBorder="1" applyFill="1" applyFont="1">
      <alignment shrinkToFit="0" vertical="top" wrapText="1"/>
    </xf>
    <xf borderId="10" fillId="0" fontId="5" numFmtId="0" xfId="0" applyBorder="1" applyFont="1"/>
    <xf borderId="11" fillId="0" fontId="1" numFmtId="0" xfId="0" applyAlignment="1" applyBorder="1" applyFont="1">
      <alignment shrinkToFit="0" wrapText="1"/>
    </xf>
    <xf borderId="11" fillId="0" fontId="1" numFmtId="0" xfId="0" applyBorder="1" applyFont="1"/>
    <xf borderId="12" fillId="0" fontId="1" numFmtId="164" xfId="0" applyBorder="1" applyFont="1" applyNumberFormat="1"/>
    <xf borderId="13" fillId="4" fontId="7" numFmtId="0" xfId="0" applyAlignment="1" applyBorder="1" applyFont="1">
      <alignment horizontal="center" readingOrder="0" vertical="center"/>
    </xf>
    <xf borderId="6" fillId="6" fontId="1" numFmtId="0" xfId="0" applyAlignment="1" applyBorder="1" applyFill="1" applyFont="1">
      <alignment horizontal="left" readingOrder="0" shrinkToFit="0" vertical="top" wrapText="1"/>
    </xf>
    <xf borderId="6" fillId="0" fontId="1" numFmtId="0" xfId="0" applyAlignment="1" applyBorder="1" applyFont="1">
      <alignment readingOrder="0"/>
    </xf>
    <xf borderId="13" fillId="0" fontId="5" numFmtId="0" xfId="0" applyBorder="1" applyFont="1"/>
    <xf borderId="14" fillId="3" fontId="7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shrinkToFit="0" vertical="top" wrapText="1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5" fontId="1" numFmtId="0" xfId="0" applyAlignment="1" applyBorder="1" applyFont="1">
      <alignment shrinkToFit="0" vertical="top" wrapText="1"/>
    </xf>
    <xf borderId="20" fillId="0" fontId="1" numFmtId="0" xfId="0" applyBorder="1" applyFont="1"/>
    <xf borderId="20" fillId="0" fontId="1" numFmtId="164" xfId="0" applyAlignment="1" applyBorder="1" applyFont="1" applyNumberFormat="1">
      <alignment horizontal="center" vertical="center"/>
    </xf>
    <xf borderId="21" fillId="0" fontId="1" numFmtId="164" xfId="0" applyBorder="1" applyFont="1" applyNumberFormat="1"/>
    <xf borderId="22" fillId="5" fontId="1" numFmtId="0" xfId="0" applyAlignment="1" applyBorder="1" applyFont="1">
      <alignment readingOrder="0" shrinkToFit="0" vertical="top" wrapText="1"/>
    </xf>
    <xf borderId="23" fillId="0" fontId="1" numFmtId="0" xfId="0" applyAlignment="1" applyBorder="1" applyFont="1">
      <alignment readingOrder="0"/>
    </xf>
    <xf borderId="23" fillId="0" fontId="1" numFmtId="164" xfId="0" applyAlignment="1" applyBorder="1" applyFont="1" applyNumberFormat="1">
      <alignment horizontal="center" readingOrder="0" vertical="center"/>
    </xf>
    <xf borderId="24" fillId="0" fontId="1" numFmtId="164" xfId="0" applyBorder="1" applyFont="1" applyNumberFormat="1"/>
    <xf borderId="25" fillId="5" fontId="1" numFmtId="0" xfId="0" applyAlignment="1" applyBorder="1" applyFont="1">
      <alignment shrinkToFit="0" vertical="top" wrapText="1"/>
    </xf>
    <xf borderId="6" fillId="0" fontId="1" numFmtId="164" xfId="0" applyAlignment="1" applyBorder="1" applyFont="1" applyNumberFormat="1">
      <alignment horizontal="center" vertical="center"/>
    </xf>
    <xf borderId="26" fillId="0" fontId="5" numFmtId="0" xfId="0" applyBorder="1" applyFont="1"/>
    <xf borderId="27" fillId="5" fontId="1" numFmtId="0" xfId="0" applyAlignment="1" applyBorder="1" applyFont="1">
      <alignment shrinkToFit="0" vertical="top" wrapText="1"/>
    </xf>
    <xf borderId="28" fillId="0" fontId="1" numFmtId="0" xfId="0" applyBorder="1" applyFont="1"/>
    <xf borderId="28" fillId="0" fontId="1" numFmtId="164" xfId="0" applyAlignment="1" applyBorder="1" applyFont="1" applyNumberFormat="1">
      <alignment horizontal="center" vertical="center"/>
    </xf>
    <xf borderId="29" fillId="0" fontId="1" numFmtId="164" xfId="0" applyBorder="1" applyFont="1" applyNumberFormat="1"/>
    <xf borderId="19" fillId="0" fontId="1" numFmtId="164" xfId="0" applyAlignment="1" applyBorder="1" applyFont="1" applyNumberFormat="1">
      <alignment horizontal="right"/>
    </xf>
    <xf borderId="30" fillId="0" fontId="9" numFmtId="164" xfId="0" applyBorder="1" applyFont="1" applyNumberFormat="1"/>
    <xf borderId="19" fillId="0" fontId="1" numFmtId="0" xfId="0" applyAlignment="1" applyBorder="1" applyFont="1">
      <alignment horizontal="right"/>
    </xf>
    <xf borderId="25" fillId="0" fontId="1" numFmtId="164" xfId="0" applyAlignment="1" applyBorder="1" applyFont="1" applyNumberFormat="1">
      <alignment horizontal="right"/>
    </xf>
    <xf borderId="31" fillId="0" fontId="1" numFmtId="164" xfId="0" applyBorder="1" applyFont="1" applyNumberFormat="1"/>
    <xf borderId="25" fillId="0" fontId="1" numFmtId="0" xfId="0" applyAlignment="1" applyBorder="1" applyFont="1">
      <alignment horizontal="right"/>
    </xf>
    <xf borderId="32" fillId="0" fontId="1" numFmtId="164" xfId="0" applyAlignment="1" applyBorder="1" applyFont="1" applyNumberFormat="1">
      <alignment horizontal="right"/>
    </xf>
    <xf borderId="33" fillId="0" fontId="9" numFmtId="164" xfId="0" applyBorder="1" applyFont="1" applyNumberFormat="1"/>
    <xf borderId="32" fillId="0" fontId="1" numFmtId="0" xfId="0" applyAlignment="1" applyBorder="1" applyFont="1">
      <alignment horizontal="right"/>
    </xf>
    <xf borderId="0" fillId="0" fontId="1" numFmtId="164" xfId="0" applyAlignment="1" applyFont="1" applyNumberFormat="1">
      <alignment horizontal="center" vertic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29"/>
    <col customWidth="1" min="3" max="3" width="36.14"/>
    <col customWidth="1" min="4" max="4" width="11.0"/>
    <col customWidth="1" min="5" max="5" width="26.71"/>
    <col customWidth="1" min="6" max="6" width="19.29"/>
    <col customWidth="1" min="7" max="7" width="8.86"/>
    <col customWidth="1" min="8" max="8" width="17.71"/>
    <col customWidth="1" min="9" max="9" width="12.43"/>
    <col customWidth="1" min="10" max="10" width="17.71"/>
    <col customWidth="1" min="11" max="26" width="8.86"/>
  </cols>
  <sheetData>
    <row r="1" ht="14.25" customHeight="1">
      <c r="E1" s="1"/>
    </row>
    <row r="2" ht="14.25" customHeight="1">
      <c r="E2" s="1"/>
    </row>
    <row r="3">
      <c r="E3" s="1"/>
      <c r="J3" s="2"/>
    </row>
    <row r="4">
      <c r="E4" s="1"/>
      <c r="J4" s="3" t="s">
        <v>0</v>
      </c>
    </row>
    <row r="5">
      <c r="E5" s="1"/>
      <c r="J5" s="4">
        <v>0.3</v>
      </c>
    </row>
    <row r="6">
      <c r="B6" s="5" t="s">
        <v>1</v>
      </c>
      <c r="C6" s="6"/>
      <c r="D6" s="6"/>
      <c r="E6" s="6"/>
      <c r="F6" s="7"/>
    </row>
    <row r="7">
      <c r="B7" s="8" t="s">
        <v>2</v>
      </c>
      <c r="C7" s="9" t="s">
        <v>3</v>
      </c>
      <c r="D7" s="9" t="s">
        <v>4</v>
      </c>
      <c r="E7" s="9" t="s">
        <v>5</v>
      </c>
      <c r="F7" s="10" t="s">
        <v>6</v>
      </c>
    </row>
    <row r="8">
      <c r="B8" s="11" t="s">
        <v>7</v>
      </c>
      <c r="C8" s="12" t="s">
        <v>8</v>
      </c>
      <c r="D8" s="13">
        <v>21.0</v>
      </c>
      <c r="E8" s="14">
        <v>39618.0</v>
      </c>
      <c r="F8" s="15">
        <f t="shared" ref="F8:F9" si="1">E8*D8</f>
        <v>831978</v>
      </c>
    </row>
    <row r="9">
      <c r="B9" s="16"/>
      <c r="C9" s="17" t="s">
        <v>9</v>
      </c>
      <c r="D9" s="13">
        <v>27.0</v>
      </c>
      <c r="E9" s="14">
        <v>39618.0</v>
      </c>
      <c r="F9" s="15">
        <f t="shared" si="1"/>
        <v>1069686</v>
      </c>
    </row>
    <row r="10">
      <c r="B10" s="16"/>
      <c r="C10" s="17" t="s">
        <v>10</v>
      </c>
      <c r="D10" s="13">
        <v>30.0</v>
      </c>
      <c r="E10" s="14">
        <v>39618.0</v>
      </c>
      <c r="F10" s="15">
        <f>D10*E10</f>
        <v>1188540</v>
      </c>
    </row>
    <row r="11">
      <c r="B11" s="18"/>
      <c r="C11" s="17" t="s">
        <v>11</v>
      </c>
      <c r="D11" s="13">
        <v>21.0</v>
      </c>
      <c r="E11" s="14">
        <v>39618.0</v>
      </c>
      <c r="F11" s="15">
        <f t="shared" ref="F11:F17" si="2">E11*D11</f>
        <v>831978</v>
      </c>
    </row>
    <row r="12">
      <c r="B12" s="11" t="s">
        <v>12</v>
      </c>
      <c r="C12" s="17" t="s">
        <v>13</v>
      </c>
      <c r="D12" s="13">
        <v>33.0</v>
      </c>
      <c r="E12" s="14">
        <v>39618.0</v>
      </c>
      <c r="F12" s="15">
        <f t="shared" si="2"/>
        <v>1307394</v>
      </c>
    </row>
    <row r="13">
      <c r="B13" s="16"/>
      <c r="C13" s="17" t="s">
        <v>14</v>
      </c>
      <c r="D13" s="13">
        <v>33.0</v>
      </c>
      <c r="E13" s="14">
        <v>39618.0</v>
      </c>
      <c r="F13" s="15">
        <f t="shared" si="2"/>
        <v>1307394</v>
      </c>
    </row>
    <row r="14">
      <c r="B14" s="16"/>
      <c r="C14" s="17" t="s">
        <v>15</v>
      </c>
      <c r="D14" s="13">
        <v>32.0</v>
      </c>
      <c r="E14" s="14">
        <v>39618.0</v>
      </c>
      <c r="F14" s="15">
        <f t="shared" si="2"/>
        <v>1267776</v>
      </c>
    </row>
    <row r="15">
      <c r="B15" s="18"/>
      <c r="C15" s="19" t="s">
        <v>16</v>
      </c>
      <c r="D15" s="20">
        <v>20.0</v>
      </c>
      <c r="E15" s="14">
        <v>39618.0</v>
      </c>
      <c r="F15" s="21">
        <f t="shared" si="2"/>
        <v>792360</v>
      </c>
    </row>
    <row r="16" ht="14.25" customHeight="1">
      <c r="B16" s="22" t="s">
        <v>17</v>
      </c>
      <c r="C16" s="23" t="s">
        <v>18</v>
      </c>
      <c r="D16" s="24">
        <v>41.0</v>
      </c>
      <c r="E16" s="14">
        <v>39618.0</v>
      </c>
      <c r="F16" s="21">
        <f t="shared" si="2"/>
        <v>1624338</v>
      </c>
    </row>
    <row r="17">
      <c r="B17" s="25"/>
      <c r="C17" s="23" t="s">
        <v>19</v>
      </c>
      <c r="D17" s="24">
        <v>43.0</v>
      </c>
      <c r="E17" s="14">
        <v>39618.0</v>
      </c>
      <c r="F17" s="21">
        <f t="shared" si="2"/>
        <v>1703574</v>
      </c>
    </row>
    <row r="18">
      <c r="B18" s="26" t="s">
        <v>20</v>
      </c>
      <c r="C18" s="27" t="s">
        <v>21</v>
      </c>
      <c r="D18" s="28"/>
      <c r="E18" s="28"/>
      <c r="F18" s="29"/>
    </row>
    <row r="19">
      <c r="B19" s="30"/>
      <c r="C19" s="31" t="s">
        <v>22</v>
      </c>
      <c r="D19" s="32">
        <v>1.0</v>
      </c>
      <c r="E19" s="33">
        <v>35990.0</v>
      </c>
      <c r="F19" s="34">
        <f t="shared" ref="F19:F22" si="3">E19*D19</f>
        <v>35990</v>
      </c>
    </row>
    <row r="20">
      <c r="B20" s="30"/>
      <c r="C20" s="35" t="s">
        <v>23</v>
      </c>
      <c r="D20" s="36">
        <v>1.0</v>
      </c>
      <c r="E20" s="37">
        <v>131000.0</v>
      </c>
      <c r="F20" s="38">
        <f t="shared" si="3"/>
        <v>131000</v>
      </c>
    </row>
    <row r="21">
      <c r="B21" s="30"/>
      <c r="C21" s="39" t="s">
        <v>24</v>
      </c>
      <c r="D21" s="13">
        <v>4.0</v>
      </c>
      <c r="E21" s="40">
        <v>5990.0</v>
      </c>
      <c r="F21" s="15">
        <f t="shared" si="3"/>
        <v>23960</v>
      </c>
    </row>
    <row r="22">
      <c r="B22" s="41"/>
      <c r="C22" s="42" t="s">
        <v>25</v>
      </c>
      <c r="D22" s="43">
        <v>1.0</v>
      </c>
      <c r="E22" s="44">
        <v>59990.0</v>
      </c>
      <c r="F22" s="45">
        <f t="shared" si="3"/>
        <v>59990</v>
      </c>
    </row>
    <row r="23" ht="14.25" customHeight="1">
      <c r="E23" s="1"/>
    </row>
    <row r="24">
      <c r="E24" s="46" t="s">
        <v>26</v>
      </c>
      <c r="F24" s="47">
        <f>SUM(F8:F17,F19:F22)</f>
        <v>12175958</v>
      </c>
      <c r="H24" s="48" t="s">
        <v>27</v>
      </c>
      <c r="I24" s="47">
        <f>F24*1.3</f>
        <v>15828745.4</v>
      </c>
    </row>
    <row r="25">
      <c r="E25" s="49" t="s">
        <v>28</v>
      </c>
      <c r="F25" s="50">
        <f>F24*0.19</f>
        <v>2313432.02</v>
      </c>
      <c r="H25" s="51" t="s">
        <v>28</v>
      </c>
      <c r="I25" s="50">
        <f>I24*0.19</f>
        <v>3007461.626</v>
      </c>
    </row>
    <row r="26">
      <c r="E26" s="52" t="s">
        <v>29</v>
      </c>
      <c r="F26" s="53">
        <f>SUM(F24:F25)</f>
        <v>14489390.02</v>
      </c>
      <c r="H26" s="54" t="s">
        <v>30</v>
      </c>
      <c r="I26" s="53">
        <f>SUM(I24:I25)</f>
        <v>18836207.03</v>
      </c>
    </row>
    <row r="27" ht="14.25" customHeight="1">
      <c r="E27" s="55"/>
    </row>
    <row r="28" ht="14.25" customHeight="1">
      <c r="E28" s="55"/>
    </row>
    <row r="29" ht="14.25" customHeight="1">
      <c r="E29" s="55"/>
    </row>
    <row r="30" ht="14.25" customHeight="1">
      <c r="E30" s="55"/>
      <c r="F30" s="56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  <row r="1001" ht="14.25" customHeight="1">
      <c r="E1001" s="1"/>
    </row>
    <row r="1002" ht="14.25" customHeight="1">
      <c r="E1002" s="1"/>
    </row>
    <row r="1003" ht="14.25" customHeight="1">
      <c r="E1003" s="1"/>
    </row>
  </sheetData>
  <mergeCells count="6">
    <mergeCell ref="B6:F6"/>
    <mergeCell ref="B8:B11"/>
    <mergeCell ref="B12:B15"/>
    <mergeCell ref="B16:B17"/>
    <mergeCell ref="B18:B22"/>
    <mergeCell ref="C18:F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